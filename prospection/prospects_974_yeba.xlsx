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Prospects 974" sheetId="2" state="visible" r:id="rId2"/>
    <sheet name="Grands comptes" sheetId="3" state="visible" r:id="rId3"/>
    <sheet name="Sous-traitance OF" sheetId="4" state="visible" r:id="rId4"/>
    <sheet name="Synthèse" sheetId="5" state="visible" r:id="rId5"/>
  </sheets>
  <definedNames>
    <definedName name="_xlnm._FilterDatabase" localSheetId="1" hidden="1">'Prospects 974'!$A$1:$P$107</definedName>
    <definedName name="_xlnm._FilterDatabase" localSheetId="3" hidden="1">'Sous-traitance OF'!$A$1:$M$60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  <font>
      <name val="Arial"/>
      <b val="1"/>
    </font>
    <font>
      <name val="Arial"/>
      <i val="1"/>
      <sz val="9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6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Fichier de prospection YEBA FORMATIONS – 974 (5 octobre 2026)</t>
        </is>
      </c>
    </row>
    <row r="2">
      <c r="A2" s="2" t="inlineStr"/>
    </row>
    <row r="3">
      <c r="A3" s="1" t="inlineStr">
        <is>
          <t>Comment l'utiliser</t>
        </is>
      </c>
    </row>
    <row r="4">
      <c r="A4" s="2" t="inlineStr">
        <is>
          <t>• Cellules jaunes = à remplir (Statut, Date 1er contact, Notes). Exemple : Statut « Contacté », date 06/10/2026, note « standard : rappeler M. X jeudi ».</t>
        </is>
      </c>
    </row>
    <row r="5">
      <c r="A5" s="2" t="inlineStr">
        <is>
          <t>• Filtrez par Priorité (1 = cibles les plus mûres : comptables, courtiers, immobilier, notaires, avocats) puis appelez le standard.</t>
        </is>
      </c>
    </row>
    <row r="6">
      <c r="A6" s="2" t="inlineStr">
        <is>
          <t>• L'onglet « Synthèse » se met à jour seul.</t>
        </is>
      </c>
    </row>
    <row r="7">
      <c r="A7" s="2" t="inlineStr"/>
    </row>
    <row r="8">
      <c r="A8" s="1" t="inlineStr">
        <is>
          <t>D'où viennent les données</t>
        </is>
      </c>
    </row>
    <row r="9">
      <c r="A9" s="2" t="inlineStr">
        <is>
          <t>• Uniquement d'annuaires et de sites publics consultés le 05/10/2026 (colonne Source). Rien n'est inventé : une case vide = information non trouvée.</t>
        </is>
      </c>
    </row>
    <row r="10">
      <c r="A10" s="2" t="inlineStr">
        <is>
          <t>• Vérifiez chaque numéro avant d'appeler (les annuaires ne sont pas toujours à jour). Complétez l'email depuis la page contact du site.</t>
        </is>
      </c>
    </row>
    <row r="11">
      <c r="A11" s="2" t="inlineStr">
        <is>
          <t>• Pour une liste exhaustive (des milliers d'entreprises, avec SIREN et effectif) : lancez prospection/extraire_entreprises_974.py depuis votre ordinateur (API publique de l'État, bloquée sur mon serveur).</t>
        </is>
      </c>
    </row>
    <row r="12">
      <c r="A12" s="2" t="inlineStr"/>
    </row>
    <row r="13">
      <c r="A13" s="1" t="inlineStr">
        <is>
          <t>RGPD (à respecter)</t>
        </is>
      </c>
    </row>
    <row r="14">
      <c r="A14" s="2" t="inlineStr">
        <is>
          <t>• Seules des entreprises figurent ici : les entrepreneurs individuels et les noms de personnes ont été écartés (minimisation, art. 5 RGPD).</t>
        </is>
      </c>
    </row>
    <row r="15">
      <c r="A15" s="2" t="inlineStr">
        <is>
          <t>• Email B2B : autorisé sans consentement si l'offre concerne la fonction du destinataire. Indiquez votre identité, la source des coordonnées et un moyen de s'opposer (art. 14 et 21 RGPD).</t>
        </is>
      </c>
    </row>
    <row r="16">
      <c r="A16" s="2" t="inlineStr">
        <is>
          <t>• Opposition = statut « Opposition RGPD » et plus aucun contact. Conservation 3 ans maximum après le dernier contact.</t>
        </is>
      </c>
    </row>
    <row r="17">
      <c r="A17" s="2" t="inlineStr">
        <is>
          <t>• Ne pas importer ce fichier dans Brevo pour une campagne de masse : interdit par la politique anti-spam de Brevo (annexe 7 des CGS).</t>
        </is>
      </c>
    </row>
    <row r="18">
      <c r="A18" s="2" t="inlineStr"/>
    </row>
    <row r="19">
      <c r="A19" s="1" t="inlineStr">
        <is>
          <t>IA Act</t>
        </is>
      </c>
    </row>
    <row r="20">
      <c r="A20" s="2" t="inlineStr">
        <is>
          <t>• L'article 4 (version Omnibus, règlement (UE) 2026/1744) demande des mesures pour « soutenir » la maîtrise de l'IA : ne pas présenter la formation comme « obligatoire » ni évoquer d'amende propre à l'article 4.</t>
        </is>
      </c>
    </row>
    <row r="21">
      <c r="A21" s="2" t="inlineStr">
        <is>
          <t>• Sous-traitance : depuis la réforme, un organisme qui sous-traite une action CPF doit faire appel à un sous-traitant certifié Qualiopi au-delà de 72 000 € de CA (source : certiforma.fr / centre-inffo.fr). Votre Qualiopi est donc un argument direct. Exclus à votre demande : Beforma, Tetranergy, ICCI, Endémia.</t>
        </is>
      </c>
    </row>
    <row r="22">
      <c r="A22" s="2" t="inlineStr">
        <is>
          <t>• OPCO « probable » : déduit de la convention collective habituelle du secteur ; à confirmer avec l'entreprise.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0" customWidth="1" min="3" max="3"/>
    <col width="9" customWidth="1" min="4" max="4"/>
    <col width="14" customWidth="1" min="5" max="5"/>
    <col width="36" customWidth="1" min="6" max="6"/>
    <col width="17" customWidth="1" min="7" max="7"/>
    <col width="24" customWidth="1" min="8" max="8"/>
    <col width="30" customWidth="1" min="9" max="9"/>
    <col width="15" customWidth="1" min="10" max="10"/>
    <col width="55" customWidth="1" min="11" max="11"/>
    <col width="16" customWidth="1" min="12" max="12"/>
    <col width="14" customWidth="1" min="13" max="13"/>
    <col width="30" customWidth="1" min="14" max="14"/>
    <col width="60" customWidth="1" min="15" max="15"/>
    <col width="40" customWidth="1" min="16" max="16"/>
  </cols>
  <sheetData>
    <row r="1" ht="32" customHeight="1">
      <c r="A1" s="3" t="inlineStr">
        <is>
          <t>N°</t>
        </is>
      </c>
      <c r="B1" s="3" t="inlineStr">
        <is>
          <t>Entreprise</t>
        </is>
      </c>
      <c r="C1" s="3" t="inlineStr">
        <is>
          <t>Secteur</t>
        </is>
      </c>
      <c r="D1" s="3" t="inlineStr">
        <is>
          <t>Priorité</t>
        </is>
      </c>
      <c r="E1" s="3" t="inlineStr">
        <is>
          <t>Commune</t>
        </is>
      </c>
      <c r="F1" s="3" t="inlineStr">
        <is>
          <t>Adresse</t>
        </is>
      </c>
      <c r="G1" s="3" t="inlineStr">
        <is>
          <t>Téléphone standard</t>
        </is>
      </c>
      <c r="H1" s="3" t="inlineStr">
        <is>
          <t>Email générique</t>
        </is>
      </c>
      <c r="I1" s="3" t="inlineStr">
        <is>
          <t>Site web</t>
        </is>
      </c>
      <c r="J1" s="3" t="inlineStr">
        <is>
          <t>OPCO probable</t>
        </is>
      </c>
      <c r="K1" s="3" t="inlineStr">
        <is>
          <t>Accroche suggérée</t>
        </is>
      </c>
      <c r="L1" s="3" t="inlineStr">
        <is>
          <t>Statut</t>
        </is>
      </c>
      <c r="M1" s="3" t="inlineStr">
        <is>
          <t>Date 1er contact</t>
        </is>
      </c>
      <c r="N1" s="3" t="inlineStr">
        <is>
          <t>Notes</t>
        </is>
      </c>
      <c r="O1" s="3" t="inlineStr">
        <is>
          <t>Source</t>
        </is>
      </c>
      <c r="P1" s="3" t="inlineStr">
        <is>
          <t>Remarque vérifiée</t>
        </is>
      </c>
    </row>
    <row r="2">
      <c r="A2" s="4" t="n">
        <v>1</v>
      </c>
      <c r="B2" s="4" t="inlineStr">
        <is>
          <t>Cabinet d'Avocats Nativel</t>
        </is>
      </c>
      <c r="C2" s="4" t="inlineStr">
        <is>
          <t>Cabinets d'avocats</t>
        </is>
      </c>
      <c r="D2" s="4" t="n">
        <v>1</v>
      </c>
      <c r="E2" s="4" t="inlineStr">
        <is>
          <t>Saint-Denis</t>
        </is>
      </c>
      <c r="F2" s="4" t="inlineStr">
        <is>
          <t>3 rue Cité Jasmin ou 20 rue Saint-Jacques, 97400 (sources divergentes) ; bureau secondaire à Saint-Pierre</t>
        </is>
      </c>
      <c r="G2" s="4" t="inlineStr"/>
      <c r="H2" s="4" t="inlineStr"/>
      <c r="I2" s="4" t="inlineStr"/>
      <c r="J2" s="4" t="inlineStr">
        <is>
          <t>OPCO EP</t>
        </is>
      </c>
      <c r="K2" s="4" t="inlineStr">
        <is>
          <t>Secret professionnel + IA générative : charte, outils souverains, formation des collaborateurs (OPCO EP).</t>
        </is>
      </c>
      <c r="L2" s="5" t="inlineStr">
        <is>
          <t>À qualifier</t>
        </is>
      </c>
      <c r="M2" s="6" t="inlineStr"/>
      <c r="N2" s="5" t="inlineStr"/>
      <c r="O2" s="4" t="inlineStr">
        <is>
          <t>https://www.annuaireavocats.fr/cabinets/droit-des-affaires/saint-denis-la-reunion ; https://gery-avocats-associes.fr/</t>
        </is>
      </c>
      <c r="P2" s="4" t="inlineStr">
        <is>
          <t>Adresse à confirmer</t>
        </is>
      </c>
    </row>
    <row r="3">
      <c r="A3" s="4" t="n">
        <v>2</v>
      </c>
      <c r="B3" s="4" t="inlineStr">
        <is>
          <t>Gery Avocats Associés</t>
        </is>
      </c>
      <c r="C3" s="4" t="inlineStr">
        <is>
          <t>Cabinets d'avocats</t>
        </is>
      </c>
      <c r="D3" s="4" t="n">
        <v>1</v>
      </c>
      <c r="E3" s="4" t="inlineStr">
        <is>
          <t>Saint-Denis</t>
        </is>
      </c>
      <c r="F3" s="4" t="inlineStr">
        <is>
          <t>12 rue Labourdonnais, 97400</t>
        </is>
      </c>
      <c r="G3" s="4" t="inlineStr"/>
      <c r="H3" s="4" t="inlineStr"/>
      <c r="I3" s="4" t="inlineStr">
        <is>
          <t>https://gery-avocats-associes.fr/</t>
        </is>
      </c>
      <c r="J3" s="4" t="inlineStr">
        <is>
          <t>OPCO EP</t>
        </is>
      </c>
      <c r="K3" s="4" t="inlineStr">
        <is>
          <t>Secret professionnel + IA générative : charte, outils souverains, formation des collaborateurs (OPCO EP).</t>
        </is>
      </c>
      <c r="L3" s="5" t="inlineStr">
        <is>
          <t>À qualifier</t>
        </is>
      </c>
      <c r="M3" s="6" t="inlineStr"/>
      <c r="N3" s="5" t="inlineStr"/>
      <c r="O3" s="4" t="inlineStr">
        <is>
          <t>https://www.annuaireavocats.fr/cabinets/droit-des-affaires/saint-denis-la-reunion ; https://gery-avocats-associes.fr/</t>
        </is>
      </c>
      <c r="P3" s="4" t="inlineStr"/>
    </row>
    <row r="4">
      <c r="A4" s="4" t="n">
        <v>3</v>
      </c>
      <c r="B4" s="4" t="inlineStr">
        <is>
          <t>OCRE Avocats</t>
        </is>
      </c>
      <c r="C4" s="4" t="inlineStr">
        <is>
          <t>Cabinets d'avocats</t>
        </is>
      </c>
      <c r="D4" s="4" t="n">
        <v>1</v>
      </c>
      <c r="E4" s="4" t="inlineStr">
        <is>
          <t>Saint-Denis</t>
        </is>
      </c>
      <c r="F4" s="4" t="inlineStr">
        <is>
          <t>74 rue Monthyon, 97400</t>
        </is>
      </c>
      <c r="G4" s="4" t="inlineStr"/>
      <c r="H4" s="4" t="inlineStr"/>
      <c r="I4" s="4" t="inlineStr"/>
      <c r="J4" s="4" t="inlineStr">
        <is>
          <t>OPCO EP</t>
        </is>
      </c>
      <c r="K4" s="4" t="inlineStr">
        <is>
          <t>Secret professionnel + IA générative : charte, outils souverains, formation des collaborateurs (OPCO EP).</t>
        </is>
      </c>
      <c r="L4" s="5" t="inlineStr">
        <is>
          <t>À qualifier</t>
        </is>
      </c>
      <c r="M4" s="6" t="inlineStr"/>
      <c r="N4" s="5" t="inlineStr"/>
      <c r="O4" s="4" t="inlineStr">
        <is>
          <t>https://www.annuaireavocats.fr/cabinets/droit-des-affaires/saint-denis-la-reunion ; https://gery-avocats-associes.fr/</t>
        </is>
      </c>
      <c r="P4" s="4" t="inlineStr"/>
    </row>
    <row r="5">
      <c r="A5" s="4" t="n">
        <v>4</v>
      </c>
      <c r="B5" s="4" t="inlineStr">
        <is>
          <t>Rivière – Delrieu &amp; Associés</t>
        </is>
      </c>
      <c r="C5" s="4" t="inlineStr">
        <is>
          <t>Cabinets d'avocats</t>
        </is>
      </c>
      <c r="D5" s="4" t="n">
        <v>1</v>
      </c>
      <c r="E5" s="4" t="inlineStr">
        <is>
          <t>Saint-Denis</t>
        </is>
      </c>
      <c r="F5" s="4" t="inlineStr"/>
      <c r="G5" s="4" t="inlineStr"/>
      <c r="H5" s="4" t="inlineStr"/>
      <c r="I5" s="4" t="inlineStr"/>
      <c r="J5" s="4" t="inlineStr">
        <is>
          <t>OPCO EP</t>
        </is>
      </c>
      <c r="K5" s="4" t="inlineStr">
        <is>
          <t>Secret professionnel + IA générative : charte, outils souverains, formation des collaborateurs (OPCO EP).</t>
        </is>
      </c>
      <c r="L5" s="5" t="inlineStr">
        <is>
          <t>À qualifier</t>
        </is>
      </c>
      <c r="M5" s="6" t="inlineStr"/>
      <c r="N5" s="5" t="inlineStr"/>
      <c r="O5" s="4" t="inlineStr">
        <is>
          <t>https://www.annuaireavocats.fr/cabinets/droit-des-affaires/saint-denis-la-reunion ; https://gery-avocats-associes.fr/</t>
        </is>
      </c>
      <c r="P5" s="4" t="inlineStr"/>
    </row>
    <row r="6">
      <c r="A6" s="4" t="n">
        <v>5</v>
      </c>
      <c r="B6" s="4" t="inlineStr">
        <is>
          <t>Assurance Réunion Solutions</t>
        </is>
      </c>
      <c r="C6" s="4" t="inlineStr">
        <is>
          <t>Courtage &amp; assurance</t>
        </is>
      </c>
      <c r="D6" s="4" t="n">
        <v>1</v>
      </c>
      <c r="E6" s="4" t="inlineStr">
        <is>
          <t>Saint-Denis</t>
        </is>
      </c>
      <c r="F6" s="4" t="inlineStr">
        <is>
          <t>Bât. Jardin de Juliette, 139 rue Juliette Dodu, 97400</t>
        </is>
      </c>
      <c r="G6" s="4" t="inlineStr">
        <is>
          <t>02 62 31 97 87</t>
        </is>
      </c>
      <c r="H6" s="4" t="inlineStr"/>
      <c r="I6" s="4" t="inlineStr"/>
      <c r="J6" s="4" t="inlineStr">
        <is>
          <t>Atlas</t>
        </is>
      </c>
      <c r="K6" s="4" t="inlineStr">
        <is>
          <t>Données sensibles des assurés : usage maîtrisé de l'IA, RGPD et preuve de mesures art. 4 (OPCO Atlas).</t>
        </is>
      </c>
      <c r="L6" s="5" t="inlineStr">
        <is>
          <t>À qualifier</t>
        </is>
      </c>
      <c r="M6" s="6" t="inlineStr"/>
      <c r="N6" s="5" t="inlineStr"/>
      <c r="O6" s="4" t="inlineStr">
        <is>
          <t>https://www.pagesjaunes.fr/annuaire/saint-denis-974/assurances-courtiers ; https://www.assurco-assurance-reunion.fr/ ; https://www.courtierassurances.re/ ; https://www.cea-assurances.fr/nos-agences/agence-reunion/</t>
        </is>
      </c>
      <c r="P6" s="4" t="inlineStr"/>
    </row>
    <row r="7">
      <c r="A7" s="4" t="n">
        <v>6</v>
      </c>
      <c r="B7" s="4" t="inlineStr">
        <is>
          <t>Assurco</t>
        </is>
      </c>
      <c r="C7" s="4" t="inlineStr">
        <is>
          <t>Courtage &amp; assurance</t>
        </is>
      </c>
      <c r="D7" s="4" t="n">
        <v>1</v>
      </c>
      <c r="E7" s="4" t="inlineStr">
        <is>
          <t>Saint-Denis</t>
        </is>
      </c>
      <c r="F7" s="4" t="inlineStr">
        <is>
          <t>13 rue Charles Gounod, 97400</t>
        </is>
      </c>
      <c r="G7" s="4" t="inlineStr">
        <is>
          <t>02 62 94 13 65</t>
        </is>
      </c>
      <c r="H7" s="4" t="inlineStr">
        <is>
          <t>direction@assurco.re</t>
        </is>
      </c>
      <c r="I7" s="4" t="inlineStr">
        <is>
          <t>https://www.assurco-assurance-reunion.fr/</t>
        </is>
      </c>
      <c r="J7" s="4" t="inlineStr">
        <is>
          <t>Atlas</t>
        </is>
      </c>
      <c r="K7" s="4" t="inlineStr">
        <is>
          <t>Données sensibles des assurés : usage maîtrisé de l'IA, RGPD et preuve de mesures art. 4 (OPCO Atlas).</t>
        </is>
      </c>
      <c r="L7" s="5" t="inlineStr">
        <is>
          <t>À qualifier</t>
        </is>
      </c>
      <c r="M7" s="6" t="inlineStr"/>
      <c r="N7" s="5" t="inlineStr"/>
      <c r="O7" s="4" t="inlineStr">
        <is>
          <t>Recherche web 05/10/2026 (email direction@assurco.re cité avec le téléphone 0262941365) ; https://www.assurco-assurance-reunion.fr/</t>
        </is>
      </c>
      <c r="P7" s="4" t="inlineStr">
        <is>
          <t>4 agences sur l'île</t>
        </is>
      </c>
    </row>
    <row r="8">
      <c r="A8" s="4" t="n">
        <v>7</v>
      </c>
      <c r="B8" s="4" t="inlineStr">
        <is>
          <t>CEA Réunion – Centre d'études d'assurances</t>
        </is>
      </c>
      <c r="C8" s="4" t="inlineStr">
        <is>
          <t>Courtage &amp; assurance</t>
        </is>
      </c>
      <c r="D8" s="4" t="n">
        <v>1</v>
      </c>
      <c r="E8" s="4" t="inlineStr">
        <is>
          <t>Saint-Denis</t>
        </is>
      </c>
      <c r="F8" s="4" t="inlineStr">
        <is>
          <t>98 rue Jules Auber, 97400</t>
        </is>
      </c>
      <c r="G8" s="4" t="inlineStr"/>
      <c r="H8" s="4" t="inlineStr"/>
      <c r="I8" s="4" t="inlineStr">
        <is>
          <t>https://www.cea-assurances.fr/nos-agences/agence-reunion/</t>
        </is>
      </c>
      <c r="J8" s="4" t="inlineStr">
        <is>
          <t>Atlas</t>
        </is>
      </c>
      <c r="K8" s="4" t="inlineStr">
        <is>
          <t>Données sensibles des assurés : usage maîtrisé de l'IA, RGPD et preuve de mesures art. 4 (OPCO Atlas).</t>
        </is>
      </c>
      <c r="L8" s="5" t="inlineStr">
        <is>
          <t>À qualifier</t>
        </is>
      </c>
      <c r="M8" s="6" t="inlineStr"/>
      <c r="N8" s="5" t="inlineStr"/>
      <c r="O8" s="4" t="inlineStr">
        <is>
          <t>https://www.pappers.fr/entreprise/439031857 ; https://www.cea-assurances.fr/nos-agences/agence-reunion/</t>
        </is>
      </c>
      <c r="P8" s="4" t="inlineStr"/>
    </row>
    <row r="9">
      <c r="A9" s="4" t="n">
        <v>8</v>
      </c>
      <c r="B9" s="4" t="inlineStr">
        <is>
          <t>Courtier Assurances</t>
        </is>
      </c>
      <c r="C9" s="4" t="inlineStr">
        <is>
          <t>Courtage &amp; assurance</t>
        </is>
      </c>
      <c r="D9" s="4" t="n">
        <v>1</v>
      </c>
      <c r="E9" s="4" t="inlineStr">
        <is>
          <t>Saint-Denis</t>
        </is>
      </c>
      <c r="F9" s="4" t="inlineStr">
        <is>
          <t>10 rue de Nice, 97400</t>
        </is>
      </c>
      <c r="G9" s="4" t="inlineStr">
        <is>
          <t>02 62 46 04 46</t>
        </is>
      </c>
      <c r="H9" s="4" t="inlineStr"/>
      <c r="I9" s="4" t="inlineStr">
        <is>
          <t>https://www.courtierassurances.re/</t>
        </is>
      </c>
      <c r="J9" s="4" t="inlineStr">
        <is>
          <t>Atlas</t>
        </is>
      </c>
      <c r="K9" s="4" t="inlineStr">
        <is>
          <t>Données sensibles des assurés : usage maîtrisé de l'IA, RGPD et preuve de mesures art. 4 (OPCO Atlas).</t>
        </is>
      </c>
      <c r="L9" s="5" t="inlineStr">
        <is>
          <t>À qualifier</t>
        </is>
      </c>
      <c r="M9" s="6" t="inlineStr"/>
      <c r="N9" s="5" t="inlineStr"/>
      <c r="O9" s="4" t="inlineStr">
        <is>
          <t>https://www.pagesjaunes.fr/annuaire/saint-denis-974/assurances-courtiers ; https://www.assurco-assurance-reunion.fr/ ; https://www.courtierassurances.re/ ; https://www.cea-assurances.fr/nos-agences/agence-reunion/</t>
        </is>
      </c>
      <c r="P9" s="4" t="inlineStr"/>
    </row>
    <row r="10">
      <c r="A10" s="4" t="n">
        <v>9</v>
      </c>
      <c r="B10" s="4" t="inlineStr">
        <is>
          <t>Isautier Assurances</t>
        </is>
      </c>
      <c r="C10" s="4" t="inlineStr">
        <is>
          <t>Courtage &amp; assurance</t>
        </is>
      </c>
      <c r="D10" s="4" t="n">
        <v>1</v>
      </c>
      <c r="E10" s="4" t="inlineStr">
        <is>
          <t>Saint-Denis</t>
        </is>
      </c>
      <c r="F10" s="4" t="inlineStr">
        <is>
          <t>15 rue Juliette Dodu, 97400</t>
        </is>
      </c>
      <c r="G10" s="4" t="inlineStr">
        <is>
          <t>02 62 90 19 19</t>
        </is>
      </c>
      <c r="H10" s="4" t="inlineStr"/>
      <c r="I10" s="4" t="inlineStr"/>
      <c r="J10" s="4" t="inlineStr">
        <is>
          <t>Atlas</t>
        </is>
      </c>
      <c r="K10" s="4" t="inlineStr">
        <is>
          <t>Données sensibles des assurés : usage maîtrisé de l'IA, RGPD et preuve de mesures art. 4 (OPCO Atlas).</t>
        </is>
      </c>
      <c r="L10" s="5" t="inlineStr">
        <is>
          <t>À qualifier</t>
        </is>
      </c>
      <c r="M10" s="6" t="inlineStr"/>
      <c r="N10" s="5" t="inlineStr"/>
      <c r="O10" s="4" t="inlineStr">
        <is>
          <t>https://www.pagesjaunes.fr/annuaire/saint-denis-974/assurances-courtiers ; https://www.assurco-assurance-reunion.fr/ ; https://www.courtierassurances.re/ ; https://www.cea-assurances.fr/nos-agences/agence-reunion/</t>
        </is>
      </c>
      <c r="P10" s="4" t="inlineStr"/>
    </row>
    <row r="11">
      <c r="A11" s="4" t="n">
        <v>10</v>
      </c>
      <c r="B11" s="4" t="inlineStr">
        <is>
          <t>JCS Courtage EURL</t>
        </is>
      </c>
      <c r="C11" s="4" t="inlineStr">
        <is>
          <t>Courtage &amp; assurance</t>
        </is>
      </c>
      <c r="D11" s="4" t="n">
        <v>1</v>
      </c>
      <c r="E11" s="4" t="inlineStr">
        <is>
          <t>Saint-Denis</t>
        </is>
      </c>
      <c r="F11" s="4" t="inlineStr">
        <is>
          <t>18 rue Ruisseau des Noirs, 97400</t>
        </is>
      </c>
      <c r="G11" s="4" t="inlineStr">
        <is>
          <t>02 62 97 59 71</t>
        </is>
      </c>
      <c r="H11" s="4" t="inlineStr"/>
      <c r="I11" s="4" t="inlineStr"/>
      <c r="J11" s="4" t="inlineStr">
        <is>
          <t>Atlas</t>
        </is>
      </c>
      <c r="K11" s="4" t="inlineStr">
        <is>
          <t>Données sensibles des assurés : usage maîtrisé de l'IA, RGPD et preuve de mesures art. 4 (OPCO Atlas).</t>
        </is>
      </c>
      <c r="L11" s="5" t="inlineStr">
        <is>
          <t>À qualifier</t>
        </is>
      </c>
      <c r="M11" s="6" t="inlineStr"/>
      <c r="N11" s="5" t="inlineStr"/>
      <c r="O11" s="4" t="inlineStr">
        <is>
          <t>https://www.pagesjaunes.fr/annuaire/saint-denis-974/assurances-courtiers ; https://www.assurco-assurance-reunion.fr/ ; https://www.courtierassurances.re/ ; https://www.cea-assurances.fr/nos-agences/agence-reunion/</t>
        </is>
      </c>
      <c r="P11" s="4" t="inlineStr"/>
    </row>
    <row r="12">
      <c r="A12" s="4" t="n">
        <v>11</v>
      </c>
      <c r="B12" s="4" t="inlineStr">
        <is>
          <t>Réunion Assurances</t>
        </is>
      </c>
      <c r="C12" s="4" t="inlineStr">
        <is>
          <t>Courtage &amp; assurance</t>
        </is>
      </c>
      <c r="D12" s="4" t="n">
        <v>1</v>
      </c>
      <c r="E12" s="4" t="inlineStr">
        <is>
          <t>Saint-Denis</t>
        </is>
      </c>
      <c r="F12" s="4" t="inlineStr">
        <is>
          <t>Bât. C Rés. Le Florentin, 45 av. Leconte de Lisle, 97490</t>
        </is>
      </c>
      <c r="G12" s="4" t="inlineStr">
        <is>
          <t>02 62 96 57 60</t>
        </is>
      </c>
      <c r="H12" s="4" t="inlineStr"/>
      <c r="I12" s="4" t="inlineStr"/>
      <c r="J12" s="4" t="inlineStr">
        <is>
          <t>Atlas</t>
        </is>
      </c>
      <c r="K12" s="4" t="inlineStr">
        <is>
          <t>Données sensibles des assurés : usage maîtrisé de l'IA, RGPD et preuve de mesures art. 4 (OPCO Atlas).</t>
        </is>
      </c>
      <c r="L12" s="5" t="inlineStr">
        <is>
          <t>À qualifier</t>
        </is>
      </c>
      <c r="M12" s="6" t="inlineStr"/>
      <c r="N12" s="5" t="inlineStr"/>
      <c r="O12" s="4" t="inlineStr">
        <is>
          <t>https://www.pagesjaunes.fr/annuaire/saint-denis-974/assurances-courtiers ; https://www.assurco-assurance-reunion.fr/ ; https://www.courtierassurances.re/ ; https://www.cea-assurances.fr/nos-agences/agence-reunion/</t>
        </is>
      </c>
      <c r="P12" s="4" t="inlineStr"/>
    </row>
    <row r="13">
      <c r="A13" s="4" t="n">
        <v>12</v>
      </c>
      <c r="B13" s="4" t="inlineStr">
        <is>
          <t>AS Expertise Comptable</t>
        </is>
      </c>
      <c r="C13" s="4" t="inlineStr">
        <is>
          <t>Expertise comptable</t>
        </is>
      </c>
      <c r="D13" s="4" t="n">
        <v>1</v>
      </c>
      <c r="E13" s="4" t="inlineStr">
        <is>
          <t>Saint-Denis</t>
        </is>
      </c>
      <c r="F13" s="4" t="inlineStr">
        <is>
          <t>41 rue Monthion, 97400</t>
        </is>
      </c>
      <c r="G13" s="4" t="inlineStr"/>
      <c r="H13" s="4" t="inlineStr"/>
      <c r="I13" s="4" t="inlineStr"/>
      <c r="J13" s="4" t="inlineStr">
        <is>
          <t>Atlas</t>
        </is>
      </c>
      <c r="K13" s="4" t="inlineStr">
        <is>
          <t>Vos collaborateurs saisissent-ils des données clients dans ChatGPT ? Formation IA + RGPD + charte d'usage, prise en charge OPCO Atlas.</t>
        </is>
      </c>
      <c r="L13" s="5" t="inlineStr">
        <is>
          <t>À qualifier</t>
        </is>
      </c>
      <c r="M13" s="6" t="inlineStr"/>
      <c r="N13" s="5" t="inlineStr"/>
      <c r="O13" s="4" t="inlineStr">
        <is>
          <t>https://fr.mappy.com/poi/5a6aa0500351d11fa08edb02 ; https://fr.mappy.com/poi/65e3e5aa00ef9c78bfaac72d</t>
        </is>
      </c>
      <c r="P13" s="4" t="inlineStr"/>
    </row>
    <row r="14">
      <c r="A14" s="4" t="n">
        <v>13</v>
      </c>
      <c r="B14" s="4" t="inlineStr">
        <is>
          <t>CCO Expertise</t>
        </is>
      </c>
      <c r="C14" s="4" t="inlineStr">
        <is>
          <t>Expertise comptable</t>
        </is>
      </c>
      <c r="D14" s="4" t="n">
        <v>1</v>
      </c>
      <c r="E14" s="4" t="inlineStr">
        <is>
          <t>Saint-Denis</t>
        </is>
      </c>
      <c r="F14" s="4" t="inlineStr">
        <is>
          <t>14 ruelle Magnan, 97490</t>
        </is>
      </c>
      <c r="G14" s="4" t="inlineStr">
        <is>
          <t>02 62 97 89 03</t>
        </is>
      </c>
      <c r="H14" s="4" t="inlineStr"/>
      <c r="I14" s="4" t="inlineStr"/>
      <c r="J14" s="4" t="inlineStr">
        <is>
          <t>Atlas</t>
        </is>
      </c>
      <c r="K14" s="4" t="inlineStr">
        <is>
          <t>Vos collaborateurs saisissent-ils des données clients dans ChatGPT ? Formation IA + RGPD + charte d'usage, prise en charge OPCO Atlas.</t>
        </is>
      </c>
      <c r="L14" s="5" t="inlineStr">
        <is>
          <t>À qualifier</t>
        </is>
      </c>
      <c r="M14" s="6" t="inlineStr"/>
      <c r="N14" s="5" t="inlineStr"/>
      <c r="O14" s="4" t="inlineStr">
        <is>
          <t>Recherche web 05/10/2026 – fiches Pages Jaunes (pagesjaunes.fr/pros/53172001, 63020050, 05903597) et https://www.pagesjaunes.fr/annuaire/departement/reunion-974/expertise-comptable</t>
        </is>
      </c>
      <c r="P14" s="4" t="inlineStr"/>
    </row>
    <row r="15">
      <c r="A15" s="4" t="n">
        <v>14</v>
      </c>
      <c r="B15" s="4" t="inlineStr">
        <is>
          <t>Cabinet AGCR Expertise Comptable</t>
        </is>
      </c>
      <c r="C15" s="4" t="inlineStr">
        <is>
          <t>Expertise comptable</t>
        </is>
      </c>
      <c r="D15" s="4" t="n">
        <v>1</v>
      </c>
      <c r="E15" s="4" t="inlineStr">
        <is>
          <t>Saint-Denis</t>
        </is>
      </c>
      <c r="F15" s="4" t="inlineStr">
        <is>
          <t>Rés. Anaxagore N°207, 24 rue Jean Cocteau, 97490</t>
        </is>
      </c>
      <c r="G15" s="4" t="inlineStr">
        <is>
          <t>02 62 20 65 00</t>
        </is>
      </c>
      <c r="H15" s="4" t="inlineStr"/>
      <c r="I15" s="4" t="inlineStr"/>
      <c r="J15" s="4" t="inlineStr">
        <is>
          <t>Atlas</t>
        </is>
      </c>
      <c r="K15" s="4" t="inlineStr">
        <is>
          <t>Vos collaborateurs saisissent-ils des données clients dans ChatGPT ? Formation IA + RGPD + charte d'usage, prise en charge OPCO Atlas.</t>
        </is>
      </c>
      <c r="L15" s="5" t="inlineStr">
        <is>
          <t>À qualifier</t>
        </is>
      </c>
      <c r="M15" s="6" t="inlineStr"/>
      <c r="N15" s="5" t="inlineStr"/>
      <c r="O15" s="4" t="inlineStr">
        <is>
          <t>Recherche web 05/10/2026 – fiches Pages Jaunes (pagesjaunes.fr/pros/53172001, 63020050, 05903597) et https://www.pagesjaunes.fr/annuaire/departement/reunion-974/expertise-comptable</t>
        </is>
      </c>
      <c r="P15" s="4" t="inlineStr">
        <is>
          <t>20 à 49 salariés : bonne taille pour un intra</t>
        </is>
      </c>
    </row>
    <row r="16">
      <c r="A16" s="4" t="n">
        <v>15</v>
      </c>
      <c r="B16" s="4" t="inlineStr">
        <is>
          <t>Cabinet Ah Foune et Associés</t>
        </is>
      </c>
      <c r="C16" s="4" t="inlineStr">
        <is>
          <t>Expertise comptable</t>
        </is>
      </c>
      <c r="D16" s="4" t="n">
        <v>1</v>
      </c>
      <c r="E16" s="4" t="inlineStr">
        <is>
          <t>Saint-Denis</t>
        </is>
      </c>
      <c r="F16" s="4" t="inlineStr">
        <is>
          <t>42 rue Jules Olivier ou 64 rue Roland Garros, 97400 (sources divergentes)</t>
        </is>
      </c>
      <c r="G16" s="4" t="inlineStr"/>
      <c r="H16" s="4" t="inlineStr"/>
      <c r="I16" s="4" t="inlineStr"/>
      <c r="J16" s="4" t="inlineStr">
        <is>
          <t>Atlas</t>
        </is>
      </c>
      <c r="K16" s="4" t="inlineStr">
        <is>
          <t>Vos collaborateurs saisissent-ils des données clients dans ChatGPT ? Formation IA + RGPD + charte d'usage, prise en charge OPCO Atlas.</t>
        </is>
      </c>
      <c r="L16" s="5" t="inlineStr">
        <is>
          <t>À qualifier</t>
        </is>
      </c>
      <c r="M16" s="6" t="inlineStr"/>
      <c r="N16" s="5" t="inlineStr"/>
      <c r="O16" s="4" t="inlineStr">
        <is>
          <t>https://finalib.fr/expert/cabinet-ah-foune-et-associes-expert-comptable-saint-denis-a7eab0 ; https://www.pagesjaunes.fr/annuaire/departement/reunion-974/expertise-comptable</t>
        </is>
      </c>
      <c r="P16" s="4" t="inlineStr">
        <is>
          <t>Adresse à confirmer au premier appel</t>
        </is>
      </c>
    </row>
    <row r="17">
      <c r="A17" s="4" t="n">
        <v>16</v>
      </c>
      <c r="B17" s="4" t="inlineStr">
        <is>
          <t>Casabona</t>
        </is>
      </c>
      <c r="C17" s="4" t="inlineStr">
        <is>
          <t>Expertise comptable</t>
        </is>
      </c>
      <c r="D17" s="4" t="n">
        <v>1</v>
      </c>
      <c r="E17" s="4" t="inlineStr">
        <is>
          <t>Saint-Pierre</t>
        </is>
      </c>
      <c r="F17" s="4" t="inlineStr">
        <is>
          <t>7 allée Piscine, 97410</t>
        </is>
      </c>
      <c r="G17" s="4" t="inlineStr"/>
      <c r="H17" s="4" t="inlineStr"/>
      <c r="I17" s="4" t="inlineStr"/>
      <c r="J17" s="4" t="inlineStr">
        <is>
          <t>Atlas</t>
        </is>
      </c>
      <c r="K17" s="4" t="inlineStr">
        <is>
          <t>Vos collaborateurs saisissent-ils des données clients dans ChatGPT ? Formation IA + RGPD + charte d'usage, prise en charge OPCO Atlas.</t>
        </is>
      </c>
      <c r="L17" s="5" t="inlineStr">
        <is>
          <t>À qualifier</t>
        </is>
      </c>
      <c r="M17" s="6" t="inlineStr"/>
      <c r="N17" s="5" t="inlineStr"/>
      <c r="O17" s="4" t="inlineStr">
        <is>
          <t>https://comptable-lesexpertsdusud.re/ ; https://demarchesadministratives.fr/expert-comptable/saint-pierre-97410</t>
        </is>
      </c>
      <c r="P17" s="4" t="inlineStr"/>
    </row>
    <row r="18">
      <c r="A18" s="4" t="n">
        <v>17</v>
      </c>
      <c r="B18" s="4" t="inlineStr">
        <is>
          <t>D.C.A</t>
        </is>
      </c>
      <c r="C18" s="4" t="inlineStr">
        <is>
          <t>Expertise comptable</t>
        </is>
      </c>
      <c r="D18" s="4" t="n">
        <v>1</v>
      </c>
      <c r="E18" s="4" t="inlineStr">
        <is>
          <t>Saint-Denis</t>
        </is>
      </c>
      <c r="F18" s="4" t="inlineStr">
        <is>
          <t>181 rue Jules Auber, 97400</t>
        </is>
      </c>
      <c r="G18" s="4" t="inlineStr">
        <is>
          <t>02 62 41 25 26</t>
        </is>
      </c>
      <c r="H18" s="4" t="inlineStr"/>
      <c r="I18" s="4" t="inlineStr"/>
      <c r="J18" s="4" t="inlineStr">
        <is>
          <t>Atlas</t>
        </is>
      </c>
      <c r="K18" s="4" t="inlineStr">
        <is>
          <t>Vos collaborateurs saisissent-ils des données clients dans ChatGPT ? Formation IA + RGPD + charte d'usage, prise en charge OPCO Atlas.</t>
        </is>
      </c>
      <c r="L18" s="5" t="inlineStr">
        <is>
          <t>À qualifier</t>
        </is>
      </c>
      <c r="M18" s="6" t="inlineStr"/>
      <c r="N18" s="5" t="inlineStr"/>
      <c r="O18" s="4" t="inlineStr">
        <is>
          <t>Recherche web 05/10/2026 – fiches Pages Jaunes (pagesjaunes.fr/pros/53172001, 63020050, 05903597) et https://www.pagesjaunes.fr/annuaire/departement/reunion-974/expertise-comptable</t>
        </is>
      </c>
      <c r="P18" s="4" t="inlineStr"/>
    </row>
    <row r="19">
      <c r="A19" s="4" t="n">
        <v>18</v>
      </c>
      <c r="B19" s="4" t="inlineStr">
        <is>
          <t>EC Réunion</t>
        </is>
      </c>
      <c r="C19" s="4" t="inlineStr">
        <is>
          <t>Expertise comptable</t>
        </is>
      </c>
      <c r="D19" s="4" t="n">
        <v>1</v>
      </c>
      <c r="E19" s="4" t="inlineStr">
        <is>
          <t>Saint-Denis</t>
        </is>
      </c>
      <c r="F19" s="4" t="inlineStr">
        <is>
          <t>248 rue Maréchal Leclerc, 97400</t>
        </is>
      </c>
      <c r="G19" s="4" t="inlineStr">
        <is>
          <t>02 62 93 88 88</t>
        </is>
      </c>
      <c r="H19" s="4" t="inlineStr"/>
      <c r="I19" s="4" t="inlineStr"/>
      <c r="J19" s="4" t="inlineStr">
        <is>
          <t>Atlas</t>
        </is>
      </c>
      <c r="K19" s="4" t="inlineStr">
        <is>
          <t>Vos collaborateurs saisissent-ils des données clients dans ChatGPT ? Formation IA + RGPD + charte d'usage, prise en charge OPCO Atlas.</t>
        </is>
      </c>
      <c r="L19" s="5" t="inlineStr">
        <is>
          <t>À qualifier</t>
        </is>
      </c>
      <c r="M19" s="6" t="inlineStr"/>
      <c r="N19" s="5" t="inlineStr"/>
      <c r="O19" s="4" t="inlineStr">
        <is>
          <t>Recherche web 05/10/2026 – fiches Pages Jaunes (pagesjaunes.fr/pros/53172001, 63020050, 05903597) et https://www.pagesjaunes.fr/annuaire/departement/reunion-974/expertise-comptable</t>
        </is>
      </c>
      <c r="P19" s="4" t="inlineStr"/>
    </row>
    <row r="20">
      <c r="A20" s="4" t="n">
        <v>19</v>
      </c>
      <c r="B20" s="4" t="inlineStr">
        <is>
          <t>FIDUCIAL Expertise Saint-Denis</t>
        </is>
      </c>
      <c r="C20" s="4" t="inlineStr">
        <is>
          <t>Expertise comptable</t>
        </is>
      </c>
      <c r="D20" s="4" t="n">
        <v>1</v>
      </c>
      <c r="E20" s="4" t="inlineStr">
        <is>
          <t>Saint-Denis</t>
        </is>
      </c>
      <c r="F20" s="4" t="inlineStr">
        <is>
          <t>6 rue de Lescouble, 97400</t>
        </is>
      </c>
      <c r="G20" s="4" t="inlineStr">
        <is>
          <t>02 62 72 18 50</t>
        </is>
      </c>
      <c r="H20" s="4" t="inlineStr"/>
      <c r="I20" s="4" t="inlineStr"/>
      <c r="J20" s="4" t="inlineStr">
        <is>
          <t>Atlas</t>
        </is>
      </c>
      <c r="K20" s="4" t="inlineStr">
        <is>
          <t>Vos collaborateurs saisissent-ils des données clients dans ChatGPT ? Formation IA + RGPD + charte d'usage, prise en charge OPCO Atlas.</t>
        </is>
      </c>
      <c r="L20" s="5" t="inlineStr">
        <is>
          <t>À qualifier</t>
        </is>
      </c>
      <c r="M20" s="6" t="inlineStr"/>
      <c r="N20" s="5" t="inlineStr"/>
      <c r="O20" s="4" t="inlineStr">
        <is>
          <t>Recherche web 05/10/2026 – fiches Pages Jaunes (pagesjaunes.fr/pros/53172001, 63020050, 05903597) et https://www.pagesjaunes.fr/annuaire/departement/reunion-974/expertise-comptable</t>
        </is>
      </c>
      <c r="P20" s="4" t="inlineStr"/>
    </row>
    <row r="21">
      <c r="A21" s="4" t="n">
        <v>20</v>
      </c>
      <c r="B21" s="4" t="inlineStr">
        <is>
          <t>Les Experts du Sud</t>
        </is>
      </c>
      <c r="C21" s="4" t="inlineStr">
        <is>
          <t>Expertise comptable</t>
        </is>
      </c>
      <c r="D21" s="4" t="n">
        <v>1</v>
      </c>
      <c r="E21" s="4" t="inlineStr">
        <is>
          <t>Saint-Pierre</t>
        </is>
      </c>
      <c r="F21" s="4" t="inlineStr">
        <is>
          <t>13 rue Bory Saint-Vincent, Rés. Guetali, ZAC Bank, 97410</t>
        </is>
      </c>
      <c r="G21" s="4" t="inlineStr">
        <is>
          <t>02 62 25 15 61</t>
        </is>
      </c>
      <c r="H21" s="4" t="inlineStr"/>
      <c r="I21" s="4" t="inlineStr">
        <is>
          <t>https://comptable-lesexpertsdusud.re/</t>
        </is>
      </c>
      <c r="J21" s="4" t="inlineStr">
        <is>
          <t>Atlas</t>
        </is>
      </c>
      <c r="K21" s="4" t="inlineStr">
        <is>
          <t>Vos collaborateurs saisissent-ils des données clients dans ChatGPT ? Formation IA + RGPD + charte d'usage, prise en charge OPCO Atlas.</t>
        </is>
      </c>
      <c r="L21" s="5" t="inlineStr">
        <is>
          <t>À qualifier</t>
        </is>
      </c>
      <c r="M21" s="6" t="inlineStr"/>
      <c r="N21" s="5" t="inlineStr"/>
      <c r="O21" s="4" t="inlineStr">
        <is>
          <t>https://comptable-lesexpertsdusud.re/ ; https://demarchesadministratives.fr/expert-comptable/saint-pierre-97410</t>
        </is>
      </c>
      <c r="P21" s="4" t="inlineStr"/>
    </row>
    <row r="22">
      <c r="A22" s="4" t="n">
        <v>21</v>
      </c>
      <c r="B22" s="4" t="inlineStr">
        <is>
          <t>Medon &amp; Associés</t>
        </is>
      </c>
      <c r="C22" s="4" t="inlineStr">
        <is>
          <t>Expertise comptable</t>
        </is>
      </c>
      <c r="D22" s="4" t="n">
        <v>1</v>
      </c>
      <c r="E22" s="4" t="inlineStr">
        <is>
          <t>Saint-Denis</t>
        </is>
      </c>
      <c r="F22" s="4" t="inlineStr">
        <is>
          <t>21 rue Jules Auber, 97400</t>
        </is>
      </c>
      <c r="G22" s="4" t="inlineStr"/>
      <c r="H22" s="4" t="inlineStr"/>
      <c r="I22" s="4" t="inlineStr">
        <is>
          <t>https://www.hlb.global/reunion</t>
        </is>
      </c>
      <c r="J22" s="4" t="inlineStr">
        <is>
          <t>Atlas</t>
        </is>
      </c>
      <c r="K22" s="4" t="inlineStr">
        <is>
          <t>Vos collaborateurs saisissent-ils des données clients dans ChatGPT ? Formation IA + RGPD + charte d'usage, prise en charge OPCO Atlas.</t>
        </is>
      </c>
      <c r="L22" s="5" t="inlineStr">
        <is>
          <t>À qualifier</t>
        </is>
      </c>
      <c r="M22" s="6" t="inlineStr"/>
      <c r="N22" s="5" t="inlineStr"/>
      <c r="O22" s="4" t="inlineStr">
        <is>
          <t>https://www.pappers.fr/entreprise/451726152 ; https://finalib.fr/expert/medon-associes-expert-comptable-saint-denis-51ae12</t>
        </is>
      </c>
      <c r="P22" s="4" t="inlineStr">
        <is>
          <t>En procédure de sauvegarde depuis le 08/02/2026 : budget formation probablement gelé, pas prioritaire</t>
        </is>
      </c>
    </row>
    <row r="23">
      <c r="A23" s="4" t="n">
        <v>22</v>
      </c>
      <c r="B23" s="4" t="inlineStr">
        <is>
          <t>Valentis Conseil &amp; Audit</t>
        </is>
      </c>
      <c r="C23" s="4" t="inlineStr">
        <is>
          <t>Expertise comptable</t>
        </is>
      </c>
      <c r="D23" s="4" t="n">
        <v>1</v>
      </c>
      <c r="E23" s="4" t="inlineStr">
        <is>
          <t>Saint-Denis</t>
        </is>
      </c>
      <c r="F23" s="4" t="inlineStr">
        <is>
          <t>22 chemin Dufourg les Bas, 97400</t>
        </is>
      </c>
      <c r="G23" s="4" t="inlineStr"/>
      <c r="H23" s="4" t="inlineStr"/>
      <c r="I23" s="4" t="inlineStr"/>
      <c r="J23" s="4" t="inlineStr">
        <is>
          <t>Atlas</t>
        </is>
      </c>
      <c r="K23" s="4" t="inlineStr">
        <is>
          <t>Vos collaborateurs saisissent-ils des données clients dans ChatGPT ? Formation IA + RGPD + charte d'usage, prise en charge OPCO Atlas.</t>
        </is>
      </c>
      <c r="L23" s="5" t="inlineStr">
        <is>
          <t>À qualifier</t>
        </is>
      </c>
      <c r="M23" s="6" t="inlineStr"/>
      <c r="N23" s="5" t="inlineStr"/>
      <c r="O23" s="4" t="inlineStr">
        <is>
          <t>https://fr.mappy.com/poi/5a6aa0500351d11fa08edb02 ; https://fr.mappy.com/poi/65e3e5aa00ef9c78bfaac72d</t>
        </is>
      </c>
      <c r="P23" s="4" t="inlineStr"/>
    </row>
    <row r="24">
      <c r="A24" s="4" t="n">
        <v>23</v>
      </c>
      <c r="B24" s="4" t="inlineStr">
        <is>
          <t>Getim</t>
        </is>
      </c>
      <c r="C24" s="4" t="inlineStr">
        <is>
          <t>Immobilier</t>
        </is>
      </c>
      <c r="D24" s="4" t="n">
        <v>1</v>
      </c>
      <c r="E24" s="4" t="inlineStr">
        <is>
          <t>Saint-Denis</t>
        </is>
      </c>
      <c r="F24" s="4" t="inlineStr">
        <is>
          <t>4 avenue de la Victoire, 97400 (+ agence à Saint-Pierre)</t>
        </is>
      </c>
      <c r="G24" s="4" t="inlineStr">
        <is>
          <t>02 62 21 12 61</t>
        </is>
      </c>
      <c r="H24" s="4" t="inlineStr"/>
      <c r="I24" s="4" t="inlineStr">
        <is>
          <t>https://www.getim.com/</t>
        </is>
      </c>
      <c r="J24" s="4" t="inlineStr">
        <is>
          <t>À vérifier</t>
        </is>
      </c>
      <c r="K24" s="4" t="inlineStr">
        <is>
          <t>Annonces, comptes rendus de visite, réponses aux mandants : l'IA au service de l'agence, dans les règles RGPD.</t>
        </is>
      </c>
      <c r="L24" s="5" t="inlineStr">
        <is>
          <t>À qualifier</t>
        </is>
      </c>
      <c r="M24" s="6" t="inlineStr"/>
      <c r="N24" s="5" t="inlineStr"/>
      <c r="O24" s="4" t="inlineStr">
        <is>
          <t>https://www.orpi.com/mvsnord/ ; https://www.getim.com/ ; https://isautier.re/ ; https://www.sixiemeavenue.com/agences/saint-denis974/ ; https://kaze-immobilier.fr/</t>
        </is>
      </c>
      <c r="P24" s="4" t="inlineStr">
        <is>
          <t>Attention : un homonyme « Getim » en Algérie apparaît dans les recherches d'email, ne pas confondre</t>
        </is>
      </c>
    </row>
    <row r="25">
      <c r="A25" s="4" t="n">
        <v>24</v>
      </c>
      <c r="B25" s="4" t="inlineStr">
        <is>
          <t>Guy Hoquet Saint-Denis</t>
        </is>
      </c>
      <c r="C25" s="4" t="inlineStr">
        <is>
          <t>Immobilier</t>
        </is>
      </c>
      <c r="D25" s="4" t="n">
        <v>1</v>
      </c>
      <c r="E25" s="4" t="inlineStr">
        <is>
          <t>Saint-Denis</t>
        </is>
      </c>
      <c r="F25" s="4" t="inlineStr">
        <is>
          <t>13 rue Charles Gounod, 97400</t>
        </is>
      </c>
      <c r="G25" s="4" t="inlineStr">
        <is>
          <t>02 62 41 66 00</t>
        </is>
      </c>
      <c r="H25" s="4" t="inlineStr">
        <is>
          <t>saintdenis@guyhoquet.re</t>
        </is>
      </c>
      <c r="I25" s="4" t="inlineStr">
        <is>
          <t>https://la-reunion-saint-denis.guy-hoquet.com/</t>
        </is>
      </c>
      <c r="J25" s="4" t="inlineStr">
        <is>
          <t>À vérifier</t>
        </is>
      </c>
      <c r="K25" s="4" t="inlineStr">
        <is>
          <t>Annonces, comptes rendus de visite, réponses aux mandants : l'IA au service de l'agence, dans les règles RGPD.</t>
        </is>
      </c>
      <c r="L25" s="5" t="inlineStr">
        <is>
          <t>À qualifier</t>
        </is>
      </c>
      <c r="M25" s="6" t="inlineStr"/>
      <c r="N25" s="5" t="inlineStr"/>
      <c r="O25" s="4" t="inlineStr">
        <is>
          <t>https://la-reunion-saint-denis.guy-hoquet.com/mon-agence ; https://la-reunion-saint-pierre.guy-hoquet.com/mon-agence</t>
        </is>
      </c>
      <c r="P25" s="4" t="inlineStr"/>
    </row>
    <row r="26">
      <c r="A26" s="4" t="n">
        <v>25</v>
      </c>
      <c r="B26" s="4" t="inlineStr">
        <is>
          <t>Guy Hoquet Saint-Pierre</t>
        </is>
      </c>
      <c r="C26" s="4" t="inlineStr">
        <is>
          <t>Immobilier</t>
        </is>
      </c>
      <c r="D26" s="4" t="n">
        <v>1</v>
      </c>
      <c r="E26" s="4" t="inlineStr">
        <is>
          <t>Saint-Pierre</t>
        </is>
      </c>
      <c r="F26" s="4" t="inlineStr">
        <is>
          <t>78 bis bd Hubert Delisle, 97410</t>
        </is>
      </c>
      <c r="G26" s="4" t="inlineStr">
        <is>
          <t>02 62 27 90 90</t>
        </is>
      </c>
      <c r="H26" s="4" t="inlineStr">
        <is>
          <t>saintpierre@guyhoquet.re</t>
        </is>
      </c>
      <c r="I26" s="4" t="inlineStr">
        <is>
          <t>https://la-reunion-saint-pierre.guy-hoquet.com/</t>
        </is>
      </c>
      <c r="J26" s="4" t="inlineStr">
        <is>
          <t>À vérifier</t>
        </is>
      </c>
      <c r="K26" s="4" t="inlineStr">
        <is>
          <t>Annonces, comptes rendus de visite, réponses aux mandants : l'IA au service de l'agence, dans les règles RGPD.</t>
        </is>
      </c>
      <c r="L26" s="5" t="inlineStr">
        <is>
          <t>À qualifier</t>
        </is>
      </c>
      <c r="M26" s="6" t="inlineStr"/>
      <c r="N26" s="5" t="inlineStr"/>
      <c r="O26" s="4" t="inlineStr">
        <is>
          <t>https://la-reunion-saint-denis.guy-hoquet.com/mon-agence ; https://la-reunion-saint-pierre.guy-hoquet.com/mon-agence</t>
        </is>
      </c>
      <c r="P26" s="4" t="inlineStr"/>
    </row>
    <row r="27">
      <c r="A27" s="4" t="n">
        <v>26</v>
      </c>
      <c r="B27" s="4" t="inlineStr">
        <is>
          <t>Isautier Immobilier</t>
        </is>
      </c>
      <c r="C27" s="4" t="inlineStr">
        <is>
          <t>Immobilier</t>
        </is>
      </c>
      <c r="D27" s="4" t="n">
        <v>1</v>
      </c>
      <c r="E27" s="4" t="inlineStr">
        <is>
          <t>Saint-Denis</t>
        </is>
      </c>
      <c r="F27" s="4" t="inlineStr">
        <is>
          <t>11 rue Juliette Dodu, 97400</t>
        </is>
      </c>
      <c r="G27" s="4" t="inlineStr">
        <is>
          <t>02 62 55 05 50</t>
        </is>
      </c>
      <c r="H27" s="4" t="inlineStr"/>
      <c r="I27" s="4" t="inlineStr">
        <is>
          <t>https://isautier.re/</t>
        </is>
      </c>
      <c r="J27" s="4" t="inlineStr">
        <is>
          <t>À vérifier</t>
        </is>
      </c>
      <c r="K27" s="4" t="inlineStr">
        <is>
          <t>Annonces, comptes rendus de visite, réponses aux mandants : l'IA au service de l'agence, dans les règles RGPD.</t>
        </is>
      </c>
      <c r="L27" s="5" t="inlineStr">
        <is>
          <t>À qualifier</t>
        </is>
      </c>
      <c r="M27" s="6" t="inlineStr"/>
      <c r="N27" s="5" t="inlineStr"/>
      <c r="O27" s="4" t="inlineStr">
        <is>
          <t>https://www.orpi.com/mvsnord/ ; https://www.getim.com/ ; https://isautier.re/ ; https://www.sixiemeavenue.com/agences/saint-denis974/ ; https://kaze-immobilier.fr/</t>
        </is>
      </c>
      <c r="P27" s="4" t="inlineStr"/>
    </row>
    <row r="28">
      <c r="A28" s="4" t="n">
        <v>27</v>
      </c>
      <c r="B28" s="4" t="inlineStr">
        <is>
          <t>Kaze Immobilier</t>
        </is>
      </c>
      <c r="C28" s="4" t="inlineStr">
        <is>
          <t>Immobilier</t>
        </is>
      </c>
      <c r="D28" s="4" t="n">
        <v>1</v>
      </c>
      <c r="E28" s="4" t="inlineStr">
        <is>
          <t>Saint-Denis</t>
        </is>
      </c>
      <c r="F28" s="4" t="inlineStr"/>
      <c r="G28" s="4" t="inlineStr"/>
      <c r="H28" s="4" t="inlineStr"/>
      <c r="I28" s="4" t="inlineStr">
        <is>
          <t>https://kaze-immobilier.fr/</t>
        </is>
      </c>
      <c r="J28" s="4" t="inlineStr">
        <is>
          <t>À vérifier</t>
        </is>
      </c>
      <c r="K28" s="4" t="inlineStr">
        <is>
          <t>Annonces, comptes rendus de visite, réponses aux mandants : l'IA au service de l'agence, dans les règles RGPD.</t>
        </is>
      </c>
      <c r="L28" s="5" t="inlineStr">
        <is>
          <t>À qualifier</t>
        </is>
      </c>
      <c r="M28" s="6" t="inlineStr"/>
      <c r="N28" s="5" t="inlineStr"/>
      <c r="O28" s="4" t="inlineStr">
        <is>
          <t>https://www.orpi.com/mvsnord/ ; https://www.getim.com/ ; https://isautier.re/ ; https://www.sixiemeavenue.com/agences/saint-denis974/ ; https://kaze-immobilier.fr/</t>
        </is>
      </c>
      <c r="P28" s="4" t="inlineStr"/>
    </row>
    <row r="29">
      <c r="A29" s="4" t="n">
        <v>28</v>
      </c>
      <c r="B29" s="4" t="inlineStr">
        <is>
          <t>Orpi MVS (Saint-Denis, Saint-Gilles, Saint-Pierre)</t>
        </is>
      </c>
      <c r="C29" s="4" t="inlineStr">
        <is>
          <t>Immobilier</t>
        </is>
      </c>
      <c r="D29" s="4" t="n">
        <v>1</v>
      </c>
      <c r="E29" s="4" t="inlineStr">
        <is>
          <t>Saint-Denis</t>
        </is>
      </c>
      <c r="F29" s="4" t="inlineStr">
        <is>
          <t>55 rue Labourdonnais, 97400 (+ 103 rue du Général de Gaulle, Saint-Gilles ; 30 rue de la Cayenne, Saint-Pierre)</t>
        </is>
      </c>
      <c r="G29" s="4" t="inlineStr">
        <is>
          <t>02 62 51 74 74</t>
        </is>
      </c>
      <c r="H29" s="4" t="inlineStr"/>
      <c r="I29" s="4" t="inlineStr">
        <is>
          <t>https://www.orpi.com/mvs/</t>
        </is>
      </c>
      <c r="J29" s="4" t="inlineStr">
        <is>
          <t>À vérifier</t>
        </is>
      </c>
      <c r="K29" s="4" t="inlineStr">
        <is>
          <t>Annonces, comptes rendus de visite, réponses aux mandants : l'IA au service de l'agence, dans les règles RGPD.</t>
        </is>
      </c>
      <c r="L29" s="5" t="inlineStr">
        <is>
          <t>À qualifier</t>
        </is>
      </c>
      <c r="M29" s="6" t="inlineStr"/>
      <c r="N29" s="5" t="inlineStr"/>
      <c r="O29" s="4" t="inlineStr">
        <is>
          <t>https://www.orpi.com/mvsnord/ ; https://www.getim.com/ ; https://isautier.re/ ; https://www.sixiemeavenue.com/agences/saint-denis974/ ; https://kaze-immobilier.fr/</t>
        </is>
      </c>
      <c r="P29" s="4" t="inlineStr">
        <is>
          <t>3 agences : proposer un intra commun</t>
        </is>
      </c>
    </row>
    <row r="30">
      <c r="A30" s="4" t="n">
        <v>29</v>
      </c>
      <c r="B30" s="4" t="inlineStr">
        <is>
          <t>Sixième Avenue Saint-Denis</t>
        </is>
      </c>
      <c r="C30" s="4" t="inlineStr">
        <is>
          <t>Immobilier</t>
        </is>
      </c>
      <c r="D30" s="4" t="n">
        <v>1</v>
      </c>
      <c r="E30" s="4" t="inlineStr">
        <is>
          <t>Saint-Denis</t>
        </is>
      </c>
      <c r="F30" s="4" t="inlineStr"/>
      <c r="G30" s="4" t="inlineStr"/>
      <c r="H30" s="4" t="inlineStr"/>
      <c r="I30" s="4" t="inlineStr">
        <is>
          <t>https://www.sixiemeavenue.com/agences/saint-denis974/</t>
        </is>
      </c>
      <c r="J30" s="4" t="inlineStr">
        <is>
          <t>À vérifier</t>
        </is>
      </c>
      <c r="K30" s="4" t="inlineStr">
        <is>
          <t>Annonces, comptes rendus de visite, réponses aux mandants : l'IA au service de l'agence, dans les règles RGPD.</t>
        </is>
      </c>
      <c r="L30" s="5" t="inlineStr">
        <is>
          <t>À qualifier</t>
        </is>
      </c>
      <c r="M30" s="6" t="inlineStr"/>
      <c r="N30" s="5" t="inlineStr"/>
      <c r="O30" s="4" t="inlineStr">
        <is>
          <t>https://www.orpi.com/mvsnord/ ; https://www.getim.com/ ; https://isautier.re/ ; https://www.sixiemeavenue.com/agences/saint-denis974/ ; https://kaze-immobilier.fr/</t>
        </is>
      </c>
      <c r="P30" s="4" t="inlineStr"/>
    </row>
    <row r="31">
      <c r="A31" s="4" t="n">
        <v>30</v>
      </c>
      <c r="B31" s="4" t="inlineStr">
        <is>
          <t>NOT'AVENIR Notaires</t>
        </is>
      </c>
      <c r="C31" s="4" t="inlineStr">
        <is>
          <t>Notariat</t>
        </is>
      </c>
      <c r="D31" s="4" t="n">
        <v>1</v>
      </c>
      <c r="E31" s="4" t="inlineStr">
        <is>
          <t>Saint-Paul</t>
        </is>
      </c>
      <c r="F31" s="4" t="inlineStr">
        <is>
          <t>8 rue Évariste de Parny, 97460 (+ Saint-Denis : 66 rue Labourdonnais, 02 62 73 08 08)</t>
        </is>
      </c>
      <c r="G31" s="4" t="inlineStr">
        <is>
          <t>02 62 45 45 65</t>
        </is>
      </c>
      <c r="H31" s="4" t="inlineStr"/>
      <c r="I31" s="4" t="inlineStr">
        <is>
          <t>https://notavenir.notaires.fr/</t>
        </is>
      </c>
      <c r="J31" s="4" t="inlineStr">
        <is>
          <t>OPCO EP</t>
        </is>
      </c>
      <c r="K31" s="4" t="inlineStr">
        <is>
          <t>Secret professionnel + IA : quelles pratiques autorisées ? Formation et charte pour l'étude (OPCO EP).</t>
        </is>
      </c>
      <c r="L31" s="5" t="inlineStr">
        <is>
          <t>À qualifier</t>
        </is>
      </c>
      <c r="M31" s="6" t="inlineStr"/>
      <c r="N31" s="5" t="inlineStr"/>
      <c r="O31" s="4" t="inlineStr">
        <is>
          <t>https://notavenir.notaires.fr/ ; https://notaires-pasteur.notaires.fr/ ; https://chambre-reunion.notaires.fr/notaire/</t>
        </is>
      </c>
      <c r="P31" s="4" t="inlineStr"/>
    </row>
    <row r="32">
      <c r="A32" s="4" t="n">
        <v>31</v>
      </c>
      <c r="B32" s="4" t="inlineStr">
        <is>
          <t>Notaires Pasteur</t>
        </is>
      </c>
      <c r="C32" s="4" t="inlineStr">
        <is>
          <t>Notariat</t>
        </is>
      </c>
      <c r="D32" s="4" t="n">
        <v>1</v>
      </c>
      <c r="E32" s="4" t="inlineStr">
        <is>
          <t>Saint-Denis</t>
        </is>
      </c>
      <c r="F32" s="4" t="inlineStr">
        <is>
          <t>44 rue Pasteur, 97400</t>
        </is>
      </c>
      <c r="G32" s="4" t="inlineStr">
        <is>
          <t>02 62 90 14 14</t>
        </is>
      </c>
      <c r="H32" s="4" t="inlineStr"/>
      <c r="I32" s="4" t="inlineStr">
        <is>
          <t>https://notaires-pasteur.notaires.fr/</t>
        </is>
      </c>
      <c r="J32" s="4" t="inlineStr">
        <is>
          <t>OPCO EP</t>
        </is>
      </c>
      <c r="K32" s="4" t="inlineStr">
        <is>
          <t>Secret professionnel + IA : quelles pratiques autorisées ? Formation et charte pour l'étude (OPCO EP).</t>
        </is>
      </c>
      <c r="L32" s="5" t="inlineStr">
        <is>
          <t>À qualifier</t>
        </is>
      </c>
      <c r="M32" s="6" t="inlineStr"/>
      <c r="N32" s="5" t="inlineStr"/>
      <c r="O32" s="4" t="inlineStr">
        <is>
          <t>https://notavenir.notaires.fr/ ; https://notaires-pasteur.notaires.fr/ ; https://chambre-reunion.notaires.fr/notaire/</t>
        </is>
      </c>
      <c r="P32" s="4" t="inlineStr"/>
    </row>
    <row r="33">
      <c r="A33" s="4" t="n">
        <v>32</v>
      </c>
      <c r="B33" s="4" t="inlineStr">
        <is>
          <t>Office notarial Aubert et associés</t>
        </is>
      </c>
      <c r="C33" s="4" t="inlineStr">
        <is>
          <t>Notariat</t>
        </is>
      </c>
      <c r="D33" s="4" t="n">
        <v>1</v>
      </c>
      <c r="E33" s="4" t="inlineStr">
        <is>
          <t>Saint-Pierre</t>
        </is>
      </c>
      <c r="F33" s="4" t="inlineStr">
        <is>
          <t>32 rue Luc Lorion, 97453 Saint-Pierre Cedex</t>
        </is>
      </c>
      <c r="G33" s="4" t="inlineStr">
        <is>
          <t>02 62 25 00 89</t>
        </is>
      </c>
      <c r="H33" s="4" t="inlineStr"/>
      <c r="I33" s="4" t="inlineStr"/>
      <c r="J33" s="4" t="inlineStr">
        <is>
          <t>OPCO EP</t>
        </is>
      </c>
      <c r="K33" s="4" t="inlineStr">
        <is>
          <t>Secret professionnel + IA : quelles pratiques autorisées ? Formation et charte pour l'étude (OPCO EP).</t>
        </is>
      </c>
      <c r="L33" s="5" t="inlineStr">
        <is>
          <t>À qualifier</t>
        </is>
      </c>
      <c r="M33" s="6" t="inlineStr"/>
      <c r="N33" s="5" t="inlineStr"/>
      <c r="O33" s="4" t="inlineStr">
        <is>
          <t>https://notavenir.notaires.fr/ ; https://notaires-pasteur.notaires.fr/ ; https://chambre-reunion.notaires.fr/notaire/</t>
        </is>
      </c>
      <c r="P33" s="4" t="inlineStr"/>
    </row>
    <row r="34">
      <c r="A34" s="4" t="n">
        <v>33</v>
      </c>
      <c r="B34" s="4" t="inlineStr">
        <is>
          <t>Étude Gaudieux</t>
        </is>
      </c>
      <c r="C34" s="4" t="inlineStr">
        <is>
          <t>Notariat</t>
        </is>
      </c>
      <c r="D34" s="4" t="n">
        <v>1</v>
      </c>
      <c r="E34" s="4" t="inlineStr">
        <is>
          <t>Saint-Denis</t>
        </is>
      </c>
      <c r="F34" s="4" t="inlineStr">
        <is>
          <t>62 bd du Chaudron, Centre d'affaires Cadjee, Bât. A, 9e ét., 97400</t>
        </is>
      </c>
      <c r="G34" s="4" t="inlineStr">
        <is>
          <t>02 62 15 08 40</t>
        </is>
      </c>
      <c r="H34" s="4" t="inlineStr"/>
      <c r="I34" s="4" t="inlineStr"/>
      <c r="J34" s="4" t="inlineStr">
        <is>
          <t>OPCO EP</t>
        </is>
      </c>
      <c r="K34" s="4" t="inlineStr">
        <is>
          <t>Secret professionnel + IA : quelles pratiques autorisées ? Formation et charte pour l'étude (OPCO EP).</t>
        </is>
      </c>
      <c r="L34" s="5" t="inlineStr">
        <is>
          <t>À qualifier</t>
        </is>
      </c>
      <c r="M34" s="6" t="inlineStr"/>
      <c r="N34" s="5" t="inlineStr"/>
      <c r="O34" s="4" t="inlineStr">
        <is>
          <t>https://notavenir.notaires.fr/ ; https://notaires-pasteur.notaires.fr/ ; https://chambre-reunion.notaires.fr/notaire/</t>
        </is>
      </c>
      <c r="P34" s="4" t="inlineStr"/>
    </row>
    <row r="35">
      <c r="A35" s="4" t="n">
        <v>34</v>
      </c>
      <c r="B35" s="4" t="inlineStr">
        <is>
          <t>ABCD Mobilier</t>
        </is>
      </c>
      <c r="C35" s="4" t="inlineStr">
        <is>
          <t>Commerce de gros</t>
        </is>
      </c>
      <c r="D35" s="4" t="n">
        <v>2</v>
      </c>
      <c r="E35" s="4" t="inlineStr"/>
      <c r="F35" s="4" t="inlineStr"/>
      <c r="G35" s="4" t="inlineStr"/>
      <c r="H35" s="4" t="inlineStr"/>
      <c r="I35" s="4" t="inlineStr">
        <is>
          <t>https://www.abcd-mobilier.fr/</t>
        </is>
      </c>
      <c r="J35" s="4" t="inlineStr">
        <is>
          <t>AKTO</t>
        </is>
      </c>
      <c r="K35" s="4" t="inlineStr">
        <is>
          <t>Devis, fiches produits, relances : 1 journée pour gagner du temps avec l'IA sans exposer vos données clients (OPCO AKTO).</t>
        </is>
      </c>
      <c r="L35" s="5" t="inlineStr">
        <is>
          <t>À qualifier</t>
        </is>
      </c>
      <c r="M35" s="6" t="inlineStr"/>
      <c r="N35" s="5" t="inlineStr"/>
      <c r="O35" s="4" t="inlineStr">
        <is>
          <t>https://www.pagesjaunes.fr/annuaire/departement/la-reunion-974/mobilier-de-bureau ; https://offital.com/ ; https://bureauxetobjets.com/</t>
        </is>
      </c>
      <c r="P35" s="4" t="inlineStr"/>
    </row>
    <row r="36">
      <c r="A36" s="4" t="n">
        <v>35</v>
      </c>
      <c r="B36" s="4" t="inlineStr">
        <is>
          <t>Adéquation Mobilier</t>
        </is>
      </c>
      <c r="C36" s="4" t="inlineStr">
        <is>
          <t>Commerce de gros</t>
        </is>
      </c>
      <c r="D36" s="4" t="n">
        <v>2</v>
      </c>
      <c r="E36" s="4" t="inlineStr">
        <is>
          <t>Saint-Denis</t>
        </is>
      </c>
      <c r="F36" s="4" t="inlineStr">
        <is>
          <t>30 route Piton Bois de Nèfles</t>
        </is>
      </c>
      <c r="G36" s="4" t="inlineStr"/>
      <c r="H36" s="4" t="inlineStr"/>
      <c r="I36" s="4" t="inlineStr"/>
      <c r="J36" s="4" t="inlineStr">
        <is>
          <t>AKTO</t>
        </is>
      </c>
      <c r="K36" s="4" t="inlineStr">
        <is>
          <t>Devis, fiches produits, relances : 1 journée pour gagner du temps avec l'IA sans exposer vos données clients (OPCO AKTO).</t>
        </is>
      </c>
      <c r="L36" s="5" t="inlineStr">
        <is>
          <t>À qualifier</t>
        </is>
      </c>
      <c r="M36" s="6" t="inlineStr"/>
      <c r="N36" s="5" t="inlineStr"/>
      <c r="O36" s="4" t="inlineStr">
        <is>
          <t>https://www.pagesjaunes.fr/annuaire/departement/la-reunion-974/mobilier-de-bureau ; https://offital.com/ ; https://bureauxetobjets.com/</t>
        </is>
      </c>
      <c r="P36" s="4" t="inlineStr"/>
    </row>
    <row r="37">
      <c r="A37" s="4" t="n">
        <v>36</v>
      </c>
      <c r="B37" s="4" t="inlineStr">
        <is>
          <t>BUROCA</t>
        </is>
      </c>
      <c r="C37" s="4" t="inlineStr">
        <is>
          <t>Commerce de gros</t>
        </is>
      </c>
      <c r="D37" s="4" t="n">
        <v>2</v>
      </c>
      <c r="E37" s="4" t="inlineStr">
        <is>
          <t>Sainte-Marie</t>
        </is>
      </c>
      <c r="F37" s="4" t="inlineStr">
        <is>
          <t>6 rue Concorde, Innovespace A03 Duparc, 97438</t>
        </is>
      </c>
      <c r="G37" s="4" t="inlineStr"/>
      <c r="H37" s="4" t="inlineStr"/>
      <c r="I37" s="4" t="inlineStr"/>
      <c r="J37" s="4" t="inlineStr">
        <is>
          <t>AKTO</t>
        </is>
      </c>
      <c r="K37" s="4" t="inlineStr">
        <is>
          <t>Devis, fiches produits, relances : 1 journée pour gagner du temps avec l'IA sans exposer vos données clients (OPCO AKTO).</t>
        </is>
      </c>
      <c r="L37" s="5" t="inlineStr">
        <is>
          <t>À qualifier</t>
        </is>
      </c>
      <c r="M37" s="6" t="inlineStr"/>
      <c r="N37" s="5" t="inlineStr"/>
      <c r="O37" s="4" t="inlineStr">
        <is>
          <t>https://www.pagesjaunes.fr/annuaire/departement/la-reunion-974/mobilier-de-bureau ; https://offital.com/ ; https://bureauxetobjets.com/</t>
        </is>
      </c>
      <c r="P37" s="4" t="inlineStr"/>
    </row>
    <row r="38">
      <c r="A38" s="4" t="n">
        <v>37</v>
      </c>
      <c r="B38" s="4" t="inlineStr">
        <is>
          <t>BUROLIKE</t>
        </is>
      </c>
      <c r="C38" s="4" t="inlineStr">
        <is>
          <t>Commerce de gros</t>
        </is>
      </c>
      <c r="D38" s="4" t="n">
        <v>2</v>
      </c>
      <c r="E38" s="4" t="inlineStr">
        <is>
          <t>Sainte-Marie</t>
        </is>
      </c>
      <c r="F38" s="4" t="inlineStr">
        <is>
          <t>2 rue du Soleil, PAE La Mare, 97438</t>
        </is>
      </c>
      <c r="G38" s="4" t="inlineStr"/>
      <c r="H38" s="4" t="inlineStr"/>
      <c r="I38" s="4" t="inlineStr"/>
      <c r="J38" s="4" t="inlineStr">
        <is>
          <t>AKTO</t>
        </is>
      </c>
      <c r="K38" s="4" t="inlineStr">
        <is>
          <t>Devis, fiches produits, relances : 1 journée pour gagner du temps avec l'IA sans exposer vos données clients (OPCO AKTO).</t>
        </is>
      </c>
      <c r="L38" s="5" t="inlineStr">
        <is>
          <t>À qualifier</t>
        </is>
      </c>
      <c r="M38" s="6" t="inlineStr"/>
      <c r="N38" s="5" t="inlineStr"/>
      <c r="O38" s="4" t="inlineStr">
        <is>
          <t>https://www.pagesjaunes.fr/annuaire/departement/la-reunion-974/mobilier-de-bureau ; https://offital.com/ ; https://bureauxetobjets.com/</t>
        </is>
      </c>
      <c r="P38" s="4" t="inlineStr"/>
    </row>
    <row r="39">
      <c r="A39" s="4" t="n">
        <v>38</v>
      </c>
      <c r="B39" s="4" t="inlineStr">
        <is>
          <t>Blanche Entreprises</t>
        </is>
      </c>
      <c r="C39" s="4" t="inlineStr">
        <is>
          <t>Commerce de gros</t>
        </is>
      </c>
      <c r="D39" s="4" t="n">
        <v>2</v>
      </c>
      <c r="E39" s="4" t="inlineStr">
        <is>
          <t>Saint-Denis</t>
        </is>
      </c>
      <c r="F39" s="4" t="inlineStr">
        <is>
          <t>2 route Rivière des Pluies</t>
        </is>
      </c>
      <c r="G39" s="4" t="inlineStr"/>
      <c r="H39" s="4" t="inlineStr"/>
      <c r="I39" s="4" t="inlineStr"/>
      <c r="J39" s="4" t="inlineStr">
        <is>
          <t>AKTO</t>
        </is>
      </c>
      <c r="K39" s="4" t="inlineStr">
        <is>
          <t>Devis, fiches produits, relances : 1 journée pour gagner du temps avec l'IA sans exposer vos données clients (OPCO AKTO).</t>
        </is>
      </c>
      <c r="L39" s="5" t="inlineStr">
        <is>
          <t>À qualifier</t>
        </is>
      </c>
      <c r="M39" s="6" t="inlineStr"/>
      <c r="N39" s="5" t="inlineStr"/>
      <c r="O39" s="4" t="inlineStr">
        <is>
          <t>https://www.pagesjaunes.fr/annuaire/departement/la-reunion-974/mobilier-de-bureau ; https://offital.com/ ; https://bureauxetobjets.com/</t>
        </is>
      </c>
      <c r="P39" s="4" t="inlineStr"/>
    </row>
    <row r="40">
      <c r="A40" s="4" t="n">
        <v>39</v>
      </c>
      <c r="B40" s="4" t="inlineStr">
        <is>
          <t>Bureaux &amp; Objets Réunion</t>
        </is>
      </c>
      <c r="C40" s="4" t="inlineStr">
        <is>
          <t>Commerce de gros</t>
        </is>
      </c>
      <c r="D40" s="4" t="n">
        <v>2</v>
      </c>
      <c r="E40" s="4" t="inlineStr">
        <is>
          <t>Saint-Pierre</t>
        </is>
      </c>
      <c r="F40" s="4" t="inlineStr"/>
      <c r="G40" s="4" t="inlineStr"/>
      <c r="H40" s="4" t="inlineStr"/>
      <c r="I40" s="4" t="inlineStr">
        <is>
          <t>https://bureauxetobjets.com/</t>
        </is>
      </c>
      <c r="J40" s="4" t="inlineStr">
        <is>
          <t>AKTO</t>
        </is>
      </c>
      <c r="K40" s="4" t="inlineStr">
        <is>
          <t>Devis, fiches produits, relances : 1 journée pour gagner du temps avec l'IA sans exposer vos données clients (OPCO AKTO).</t>
        </is>
      </c>
      <c r="L40" s="5" t="inlineStr">
        <is>
          <t>À qualifier</t>
        </is>
      </c>
      <c r="M40" s="6" t="inlineStr"/>
      <c r="N40" s="5" t="inlineStr"/>
      <c r="O40" s="4" t="inlineStr">
        <is>
          <t>https://www.pagesjaunes.fr/annuaire/departement/la-reunion-974/mobilier-de-bureau ; https://offital.com/ ; https://bureauxetobjets.com/</t>
        </is>
      </c>
      <c r="P40" s="4" t="inlineStr"/>
    </row>
    <row r="41">
      <c r="A41" s="4" t="n">
        <v>40</v>
      </c>
      <c r="B41" s="4" t="inlineStr">
        <is>
          <t>CGF Distribution</t>
        </is>
      </c>
      <c r="C41" s="4" t="inlineStr">
        <is>
          <t>Commerce de gros</t>
        </is>
      </c>
      <c r="D41" s="4" t="n">
        <v>2</v>
      </c>
      <c r="E41" s="4" t="inlineStr">
        <is>
          <t>Le Port</t>
        </is>
      </c>
      <c r="F41" s="4" t="inlineStr"/>
      <c r="G41" s="4" t="inlineStr"/>
      <c r="H41" s="4" t="inlineStr"/>
      <c r="I41" s="4" t="inlineStr"/>
      <c r="J41" s="4" t="inlineStr">
        <is>
          <t>AKTO</t>
        </is>
      </c>
      <c r="K41" s="4" t="inlineStr">
        <is>
          <t>Devis, fiches produits, relances : 1 journée pour gagner du temps avec l'IA sans exposer vos données clients (OPCO AKTO).</t>
        </is>
      </c>
      <c r="L41" s="5" t="inlineStr">
        <is>
          <t>À qualifier</t>
        </is>
      </c>
      <c r="M41" s="6" t="inlineStr"/>
      <c r="N41" s="5" t="inlineStr"/>
      <c r="O41" s="4" t="inlineStr">
        <is>
          <t>https://fr.kompass.com/a/commerce-de-gros/81250/r/la-reunion/fr_04/ ; https://www.pagesjaunes.fr/annuaire/departement/la-reunion-974/alimentation-generale-gros</t>
        </is>
      </c>
      <c r="P41" s="4" t="inlineStr"/>
    </row>
    <row r="42">
      <c r="A42" s="4" t="n">
        <v>41</v>
      </c>
      <c r="B42" s="4" t="inlineStr">
        <is>
          <t>FAREN SAS</t>
        </is>
      </c>
      <c r="C42" s="4" t="inlineStr">
        <is>
          <t>Commerce de gros</t>
        </is>
      </c>
      <c r="D42" s="4" t="n">
        <v>2</v>
      </c>
      <c r="E42" s="4" t="inlineStr">
        <is>
          <t>Sainte-Marie</t>
        </is>
      </c>
      <c r="F42" s="4" t="inlineStr">
        <is>
          <t>10 rue Soleil, 97438</t>
        </is>
      </c>
      <c r="G42" s="4" t="inlineStr"/>
      <c r="H42" s="4" t="inlineStr"/>
      <c r="I42" s="4" t="inlineStr"/>
      <c r="J42" s="4" t="inlineStr">
        <is>
          <t>AKTO</t>
        </is>
      </c>
      <c r="K42" s="4" t="inlineStr">
        <is>
          <t>Devis, fiches produits, relances : 1 journée pour gagner du temps avec l'IA sans exposer vos données clients (OPCO AKTO).</t>
        </is>
      </c>
      <c r="L42" s="5" t="inlineStr">
        <is>
          <t>À qualifier</t>
        </is>
      </c>
      <c r="M42" s="6" t="inlineStr"/>
      <c r="N42" s="5" t="inlineStr"/>
      <c r="O42" s="4" t="inlineStr">
        <is>
          <t>https://fr.kompass.com/a/commerce-de-gros/81250/r/la-reunion/fr_04/ ; https://www.pagesjaunes.fr/annuaire/departement/la-reunion-974/alimentation-generale-gros</t>
        </is>
      </c>
      <c r="P42" s="4" t="inlineStr"/>
    </row>
    <row r="43">
      <c r="A43" s="4" t="n">
        <v>42</v>
      </c>
      <c r="B43" s="4" t="inlineStr">
        <is>
          <t>Food Import Océan Indien</t>
        </is>
      </c>
      <c r="C43" s="4" t="inlineStr">
        <is>
          <t>Commerce de gros</t>
        </is>
      </c>
      <c r="D43" s="4" t="n">
        <v>2</v>
      </c>
      <c r="E43" s="4" t="inlineStr">
        <is>
          <t>Sainte-Marie</t>
        </is>
      </c>
      <c r="F43" s="4" t="inlineStr">
        <is>
          <t>1 rue Général de Gaulle, 97438</t>
        </is>
      </c>
      <c r="G43" s="4" t="inlineStr"/>
      <c r="H43" s="4" t="inlineStr"/>
      <c r="I43" s="4" t="inlineStr">
        <is>
          <t>https://foodimport-oi.re/</t>
        </is>
      </c>
      <c r="J43" s="4" t="inlineStr">
        <is>
          <t>AKTO</t>
        </is>
      </c>
      <c r="K43" s="4" t="inlineStr">
        <is>
          <t>Devis, fiches produits, relances : 1 journée pour gagner du temps avec l'IA sans exposer vos données clients (OPCO AKTO).</t>
        </is>
      </c>
      <c r="L43" s="5" t="inlineStr">
        <is>
          <t>À qualifier</t>
        </is>
      </c>
      <c r="M43" s="6" t="inlineStr"/>
      <c r="N43" s="5" t="inlineStr"/>
      <c r="O43" s="4" t="inlineStr">
        <is>
          <t>https://foodimport-oi.re/</t>
        </is>
      </c>
      <c r="P43" s="4" t="inlineStr"/>
    </row>
    <row r="44">
      <c r="A44" s="4" t="n">
        <v>43</v>
      </c>
      <c r="B44" s="4" t="inlineStr">
        <is>
          <t>Offital (mobilier de bureau)</t>
        </is>
      </c>
      <c r="C44" s="4" t="inlineStr">
        <is>
          <t>Commerce de gros</t>
        </is>
      </c>
      <c r="D44" s="4" t="n">
        <v>2</v>
      </c>
      <c r="E44" s="4" t="inlineStr">
        <is>
          <t>Sainte-Marie</t>
        </is>
      </c>
      <c r="F44" s="4" t="inlineStr">
        <is>
          <t>67 rue André Lardy, 97438</t>
        </is>
      </c>
      <c r="G44" s="4" t="inlineStr"/>
      <c r="H44" s="4" t="inlineStr"/>
      <c r="I44" s="4" t="inlineStr">
        <is>
          <t>https://offital.com/</t>
        </is>
      </c>
      <c r="J44" s="4" t="inlineStr">
        <is>
          <t>AKTO</t>
        </is>
      </c>
      <c r="K44" s="4" t="inlineStr">
        <is>
          <t>Devis, fiches produits, relances : 1 journée pour gagner du temps avec l'IA sans exposer vos données clients (OPCO AKTO).</t>
        </is>
      </c>
      <c r="L44" s="5" t="inlineStr">
        <is>
          <t>À qualifier</t>
        </is>
      </c>
      <c r="M44" s="6" t="inlineStr"/>
      <c r="N44" s="5" t="inlineStr"/>
      <c r="O44" s="4" t="inlineStr">
        <is>
          <t>https://www.pagesjaunes.fr/annuaire/departement/la-reunion-974/mobilier-de-bureau ; https://offital.com/ ; https://bureauxetobjets.com/</t>
        </is>
      </c>
      <c r="P44" s="4" t="inlineStr"/>
    </row>
    <row r="45">
      <c r="A45" s="4" t="n">
        <v>44</v>
      </c>
      <c r="B45" s="4" t="inlineStr">
        <is>
          <t>SDCOM</t>
        </is>
      </c>
      <c r="C45" s="4" t="inlineStr">
        <is>
          <t>Commerce de gros</t>
        </is>
      </c>
      <c r="D45" s="4" t="n">
        <v>2</v>
      </c>
      <c r="E45" s="4" t="inlineStr"/>
      <c r="F45" s="4" t="inlineStr"/>
      <c r="G45" s="4" t="inlineStr"/>
      <c r="H45" s="4" t="inlineStr"/>
      <c r="I45" s="4" t="inlineStr"/>
      <c r="J45" s="4" t="inlineStr">
        <is>
          <t>AKTO</t>
        </is>
      </c>
      <c r="K45" s="4" t="inlineStr">
        <is>
          <t>Devis, fiches produits, relances : 1 journée pour gagner du temps avec l'IA sans exposer vos données clients (OPCO AKTO).</t>
        </is>
      </c>
      <c r="L45" s="5" t="inlineStr">
        <is>
          <t>À qualifier</t>
        </is>
      </c>
      <c r="M45" s="6" t="inlineStr"/>
      <c r="N45" s="5" t="inlineStr"/>
      <c r="O45" s="4" t="inlineStr">
        <is>
          <t>https://fr.kompass.com/a/commerce-de-gros/81250/r/la-reunion/fr_04/ ; https://www.pagesjaunes.fr/annuaire/departement/la-reunion-974/alimentation-generale-gros</t>
        </is>
      </c>
      <c r="P45" s="4" t="inlineStr"/>
    </row>
    <row r="46">
      <c r="A46" s="4" t="n">
        <v>45</v>
      </c>
      <c r="B46" s="4" t="inlineStr">
        <is>
          <t>SIDISRUN</t>
        </is>
      </c>
      <c r="C46" s="4" t="inlineStr">
        <is>
          <t>Commerce de gros</t>
        </is>
      </c>
      <c r="D46" s="4" t="n">
        <v>2</v>
      </c>
      <c r="E46" s="4" t="inlineStr">
        <is>
          <t>Sainte-Marie</t>
        </is>
      </c>
      <c r="F46" s="4" t="inlineStr">
        <is>
          <t>PAE La Mare, 97438</t>
        </is>
      </c>
      <c r="G46" s="4" t="inlineStr"/>
      <c r="H46" s="4" t="inlineStr"/>
      <c r="I46" s="4" t="inlineStr"/>
      <c r="J46" s="4" t="inlineStr">
        <is>
          <t>AKTO</t>
        </is>
      </c>
      <c r="K46" s="4" t="inlineStr">
        <is>
          <t>Devis, fiches produits, relances : 1 journée pour gagner du temps avec l'IA sans exposer vos données clients (OPCO AKTO).</t>
        </is>
      </c>
      <c r="L46" s="5" t="inlineStr">
        <is>
          <t>À qualifier</t>
        </is>
      </c>
      <c r="M46" s="6" t="inlineStr"/>
      <c r="N46" s="5" t="inlineStr"/>
      <c r="O46" s="4" t="inlineStr">
        <is>
          <t>https://fr.kompass.com/a/commerce-de-gros/81250/r/la-reunion/fr_04/ ; https://www.pagesjaunes.fr/annuaire/departement/la-reunion-974/alimentation-generale-gros</t>
        </is>
      </c>
      <c r="P46" s="4" t="inlineStr"/>
    </row>
    <row r="47">
      <c r="A47" s="4" t="n">
        <v>46</v>
      </c>
      <c r="B47" s="4" t="inlineStr">
        <is>
          <t>Socodiex</t>
        </is>
      </c>
      <c r="C47" s="4" t="inlineStr">
        <is>
          <t>Commerce de gros</t>
        </is>
      </c>
      <c r="D47" s="4" t="n">
        <v>2</v>
      </c>
      <c r="E47" s="4" t="inlineStr"/>
      <c r="F47" s="4" t="inlineStr"/>
      <c r="G47" s="4" t="inlineStr"/>
      <c r="H47" s="4" t="inlineStr"/>
      <c r="I47" s="4" t="inlineStr"/>
      <c r="J47" s="4" t="inlineStr">
        <is>
          <t>AKTO</t>
        </is>
      </c>
      <c r="K47" s="4" t="inlineStr">
        <is>
          <t>Devis, fiches produits, relances : 1 journée pour gagner du temps avec l'IA sans exposer vos données clients (OPCO AKTO).</t>
        </is>
      </c>
      <c r="L47" s="5" t="inlineStr">
        <is>
          <t>À qualifier</t>
        </is>
      </c>
      <c r="M47" s="6" t="inlineStr"/>
      <c r="N47" s="5" t="inlineStr"/>
      <c r="O47" s="4" t="inlineStr">
        <is>
          <t>https://fr.kompass.com/a/commerce-de-gros/81250/r/la-reunion/fr_04/ ; https://www.pagesjaunes.fr/annuaire/departement/la-reunion-974/alimentation-generale-gros</t>
        </is>
      </c>
      <c r="P47" s="4" t="inlineStr"/>
    </row>
    <row r="48">
      <c r="A48" s="4" t="n">
        <v>47</v>
      </c>
      <c r="B48" s="4" t="inlineStr">
        <is>
          <t>Somadis</t>
        </is>
      </c>
      <c r="C48" s="4" t="inlineStr">
        <is>
          <t>Commerce de gros</t>
        </is>
      </c>
      <c r="D48" s="4" t="n">
        <v>2</v>
      </c>
      <c r="E48" s="4" t="inlineStr">
        <is>
          <t>Saint-Denis</t>
        </is>
      </c>
      <c r="F48" s="4" t="inlineStr">
        <is>
          <t>98 rue de la République</t>
        </is>
      </c>
      <c r="G48" s="4" t="inlineStr"/>
      <c r="H48" s="4" t="inlineStr"/>
      <c r="I48" s="4" t="inlineStr"/>
      <c r="J48" s="4" t="inlineStr">
        <is>
          <t>AKTO</t>
        </is>
      </c>
      <c r="K48" s="4" t="inlineStr">
        <is>
          <t>Devis, fiches produits, relances : 1 journée pour gagner du temps avec l'IA sans exposer vos données clients (OPCO AKTO).</t>
        </is>
      </c>
      <c r="L48" s="5" t="inlineStr">
        <is>
          <t>À qualifier</t>
        </is>
      </c>
      <c r="M48" s="6" t="inlineStr"/>
      <c r="N48" s="5" t="inlineStr"/>
      <c r="O48" s="4" t="inlineStr">
        <is>
          <t>https://www.pagesjaunes.fr/annuaire/departement/la-reunion-974/mobilier-de-bureau ; https://offital.com/ ; https://bureauxetobjets.com/</t>
        </is>
      </c>
      <c r="P48" s="4" t="inlineStr"/>
    </row>
    <row r="49">
      <c r="A49" s="4" t="n">
        <v>48</v>
      </c>
      <c r="B49" s="4" t="inlineStr">
        <is>
          <t>BNB</t>
        </is>
      </c>
      <c r="C49" s="4" t="inlineStr">
        <is>
          <t>Informatique / ESN</t>
        </is>
      </c>
      <c r="D49" s="4" t="n">
        <v>2</v>
      </c>
      <c r="E49" s="4" t="inlineStr"/>
      <c r="F49" s="4" t="inlineStr"/>
      <c r="G49" s="4" t="inlineStr"/>
      <c r="H49" s="4" t="inlineStr"/>
      <c r="I49" s="4" t="inlineStr">
        <is>
          <t>https://bnb.re/</t>
        </is>
      </c>
      <c r="J49" s="4" t="inlineStr">
        <is>
          <t>Atlas</t>
        </is>
      </c>
      <c r="K49" s="4" t="inlineStr">
        <is>
          <t>Partenariat : vous déployez Copilot / M365, je forme les utilisateurs et sécurise RGPD / IA Act (OPCO Atlas).</t>
        </is>
      </c>
      <c r="L49" s="5" t="inlineStr">
        <is>
          <t>À qualifier</t>
        </is>
      </c>
      <c r="M49" s="6" t="inlineStr"/>
      <c r="N49" s="5" t="inlineStr"/>
      <c r="O49" s="4" t="inlineStr">
        <is>
          <t>https://mdsi.re/groupe-mdsi-fiche-entreprise/ ; https://ecureuil-digital.re/societe-informatique-reunion/ ; https://bnb.re/</t>
        </is>
      </c>
      <c r="P49" s="4" t="inlineStr"/>
    </row>
    <row r="50">
      <c r="A50" s="4" t="n">
        <v>49</v>
      </c>
      <c r="B50" s="4" t="inlineStr">
        <is>
          <t>Groupe MDSI</t>
        </is>
      </c>
      <c r="C50" s="4" t="inlineStr">
        <is>
          <t>Informatique / ESN</t>
        </is>
      </c>
      <c r="D50" s="4" t="n">
        <v>2</v>
      </c>
      <c r="E50" s="4" t="inlineStr">
        <is>
          <t>Le Port</t>
        </is>
      </c>
      <c r="F50" s="4" t="inlineStr"/>
      <c r="G50" s="4" t="inlineStr"/>
      <c r="H50" s="4" t="inlineStr"/>
      <c r="I50" s="4" t="inlineStr">
        <is>
          <t>https://mdsi.re/</t>
        </is>
      </c>
      <c r="J50" s="4" t="inlineStr">
        <is>
          <t>Atlas</t>
        </is>
      </c>
      <c r="K50" s="4" t="inlineStr">
        <is>
          <t>Partenariat : vous déployez Copilot / M365, je forme les utilisateurs et sécurise RGPD / IA Act (OPCO Atlas).</t>
        </is>
      </c>
      <c r="L50" s="5" t="inlineStr">
        <is>
          <t>À qualifier</t>
        </is>
      </c>
      <c r="M50" s="6" t="inlineStr"/>
      <c r="N50" s="5" t="inlineStr"/>
      <c r="O50" s="4" t="inlineStr">
        <is>
          <t>https://mdsi.re/groupe-mdsi-fiche-entreprise/ ; https://ecureuil-digital.re/societe-informatique-reunion/ ; https://bnb.re/</t>
        </is>
      </c>
      <c r="P50" s="4" t="inlineStr"/>
    </row>
    <row r="51">
      <c r="A51" s="4" t="n">
        <v>50</v>
      </c>
      <c r="B51" s="4" t="inlineStr">
        <is>
          <t>Écureuil Digital</t>
        </is>
      </c>
      <c r="C51" s="4" t="inlineStr">
        <is>
          <t>Informatique / ESN</t>
        </is>
      </c>
      <c r="D51" s="4" t="n">
        <v>2</v>
      </c>
      <c r="E51" s="4" t="inlineStr">
        <is>
          <t>Saint-Denis</t>
        </is>
      </c>
      <c r="F51" s="4" t="inlineStr">
        <is>
          <t>3 agences : Saint-Denis, Saint-Paul, Saint-Pierre</t>
        </is>
      </c>
      <c r="G51" s="4" t="inlineStr"/>
      <c r="H51" s="4" t="inlineStr"/>
      <c r="I51" s="4" t="inlineStr">
        <is>
          <t>https://ecureuil-digital.re/</t>
        </is>
      </c>
      <c r="J51" s="4" t="inlineStr">
        <is>
          <t>Atlas</t>
        </is>
      </c>
      <c r="K51" s="4" t="inlineStr">
        <is>
          <t>Partenariat : vous déployez Copilot / M365, je forme les utilisateurs et sécurise RGPD / IA Act (OPCO Atlas).</t>
        </is>
      </c>
      <c r="L51" s="5" t="inlineStr">
        <is>
          <t>À qualifier</t>
        </is>
      </c>
      <c r="M51" s="6" t="inlineStr"/>
      <c r="N51" s="5" t="inlineStr"/>
      <c r="O51" s="4" t="inlineStr">
        <is>
          <t>https://mdsi.re/groupe-mdsi-fiche-entreprise/ ; https://ecureuil-digital.re/societe-informatique-reunion/ ; https://bnb.re/</t>
        </is>
      </c>
      <c r="P51" s="4" t="inlineStr"/>
    </row>
    <row r="52">
      <c r="A52" s="4" t="n">
        <v>51</v>
      </c>
      <c r="B52" s="4" t="inlineStr">
        <is>
          <t>Alter Ego Océan Indien</t>
        </is>
      </c>
      <c r="C52" s="4" t="inlineStr">
        <is>
          <t>Intérim &amp; recrutement</t>
        </is>
      </c>
      <c r="D52" s="4" t="n">
        <v>2</v>
      </c>
      <c r="E52" s="4" t="inlineStr"/>
      <c r="F52" s="4" t="inlineStr">
        <is>
          <t>4 agences sur l'île</t>
        </is>
      </c>
      <c r="G52" s="4" t="inlineStr"/>
      <c r="H52" s="4" t="inlineStr"/>
      <c r="I52" s="4" t="inlineStr"/>
      <c r="J52" s="4" t="inlineStr">
        <is>
          <t>AKTO</t>
        </is>
      </c>
      <c r="K52" s="4" t="inlineStr">
        <is>
          <t>Tri de CV par IA = haut risque IA Act (annexe III) : audit + formation de vos chargés de recrutement.</t>
        </is>
      </c>
      <c r="L52" s="5" t="inlineStr">
        <is>
          <t>À qualifier</t>
        </is>
      </c>
      <c r="M52" s="6" t="inlineStr"/>
      <c r="N52" s="5" t="inlineStr"/>
      <c r="O52" s="4" t="inlineStr">
        <is>
          <t>https://www.pagesjaunes.fr/annuaire/saint-denis-974/agences-d-interim-et-d-emploi ; http://www.974job.com/agences ; https://www.randstad.fr/nos-agences/randstad-search-reunion_2970/</t>
        </is>
      </c>
      <c r="P52" s="4" t="inlineStr"/>
    </row>
    <row r="53">
      <c r="A53" s="4" t="n">
        <v>52</v>
      </c>
      <c r="B53" s="4" t="inlineStr">
        <is>
          <t>Axion</t>
        </is>
      </c>
      <c r="C53" s="4" t="inlineStr">
        <is>
          <t>Intérim &amp; recrutement</t>
        </is>
      </c>
      <c r="D53" s="4" t="n">
        <v>2</v>
      </c>
      <c r="E53" s="4" t="inlineStr">
        <is>
          <t>Saint-Denis</t>
        </is>
      </c>
      <c r="F53" s="4" t="inlineStr">
        <is>
          <t>30 rue Labourdonnais, 97400</t>
        </is>
      </c>
      <c r="G53" s="4" t="inlineStr"/>
      <c r="H53" s="4" t="inlineStr"/>
      <c r="I53" s="4" t="inlineStr"/>
      <c r="J53" s="4" t="inlineStr">
        <is>
          <t>AKTO</t>
        </is>
      </c>
      <c r="K53" s="4" t="inlineStr">
        <is>
          <t>Tri de CV par IA = haut risque IA Act (annexe III) : audit + formation de vos chargés de recrutement.</t>
        </is>
      </c>
      <c r="L53" s="5" t="inlineStr">
        <is>
          <t>À qualifier</t>
        </is>
      </c>
      <c r="M53" s="6" t="inlineStr"/>
      <c r="N53" s="5" t="inlineStr"/>
      <c r="O53" s="4" t="inlineStr">
        <is>
          <t>https://www.pagesjaunes.fr/annuaire/saint-denis-974/agences-d-interim-et-d-emploi ; http://www.974job.com/agences ; https://www.randstad.fr/nos-agences/randstad-search-reunion_2970/</t>
        </is>
      </c>
      <c r="P53" s="4" t="inlineStr"/>
    </row>
    <row r="54">
      <c r="A54" s="4" t="n">
        <v>53</v>
      </c>
      <c r="B54" s="4" t="inlineStr">
        <is>
          <t>Hooter &amp; Event</t>
        </is>
      </c>
      <c r="C54" s="4" t="inlineStr">
        <is>
          <t>Intérim &amp; recrutement</t>
        </is>
      </c>
      <c r="D54" s="4" t="n">
        <v>2</v>
      </c>
      <c r="E54" s="4" t="inlineStr">
        <is>
          <t>Saint-Denis</t>
        </is>
      </c>
      <c r="F54" s="4" t="inlineStr"/>
      <c r="G54" s="4" t="inlineStr"/>
      <c r="H54" s="4" t="inlineStr"/>
      <c r="I54" s="4" t="inlineStr"/>
      <c r="J54" s="4" t="inlineStr">
        <is>
          <t>AKTO</t>
        </is>
      </c>
      <c r="K54" s="4" t="inlineStr">
        <is>
          <t>Tri de CV par IA = haut risque IA Act (annexe III) : audit + formation de vos chargés de recrutement.</t>
        </is>
      </c>
      <c r="L54" s="5" t="inlineStr">
        <is>
          <t>À qualifier</t>
        </is>
      </c>
      <c r="M54" s="6" t="inlineStr"/>
      <c r="N54" s="5" t="inlineStr"/>
      <c r="O54" s="4" t="inlineStr">
        <is>
          <t>https://www.pagesjaunes.fr/annuaire/saint-denis-974/agences-d-interim-et-d-emploi ; http://www.974job.com/agences ; https://www.randstad.fr/nos-agences/randstad-search-reunion_2970/</t>
        </is>
      </c>
      <c r="P54" s="4" t="inlineStr"/>
    </row>
    <row r="55">
      <c r="A55" s="4" t="n">
        <v>54</v>
      </c>
      <c r="B55" s="4" t="inlineStr">
        <is>
          <t>Profil Océan Indien</t>
        </is>
      </c>
      <c r="C55" s="4" t="inlineStr">
        <is>
          <t>Intérim &amp; recrutement</t>
        </is>
      </c>
      <c r="D55" s="4" t="n">
        <v>2</v>
      </c>
      <c r="E55" s="4" t="inlineStr">
        <is>
          <t>Saint-Denis</t>
        </is>
      </c>
      <c r="F55" s="4" t="inlineStr">
        <is>
          <t>48 rue Général de Gaulle, 97400</t>
        </is>
      </c>
      <c r="G55" s="4" t="inlineStr"/>
      <c r="H55" s="4" t="inlineStr"/>
      <c r="I55" s="4" t="inlineStr"/>
      <c r="J55" s="4" t="inlineStr">
        <is>
          <t>AKTO</t>
        </is>
      </c>
      <c r="K55" s="4" t="inlineStr">
        <is>
          <t>Tri de CV par IA = haut risque IA Act (annexe III) : audit + formation de vos chargés de recrutement.</t>
        </is>
      </c>
      <c r="L55" s="5" t="inlineStr">
        <is>
          <t>À qualifier</t>
        </is>
      </c>
      <c r="M55" s="6" t="inlineStr"/>
      <c r="N55" s="5" t="inlineStr"/>
      <c r="O55" s="4" t="inlineStr">
        <is>
          <t>https://www.pagesjaunes.fr/annuaire/saint-denis-974/agences-d-interim-et-d-emploi ; http://www.974job.com/agences ; https://www.randstad.fr/nos-agences/randstad-search-reunion_2970/</t>
        </is>
      </c>
      <c r="P55" s="4" t="inlineStr"/>
    </row>
    <row r="56">
      <c r="A56" s="4" t="n">
        <v>55</v>
      </c>
      <c r="B56" s="4" t="inlineStr">
        <is>
          <t>Proman Gestion</t>
        </is>
      </c>
      <c r="C56" s="4" t="inlineStr">
        <is>
          <t>Intérim &amp; recrutement</t>
        </is>
      </c>
      <c r="D56" s="4" t="n">
        <v>2</v>
      </c>
      <c r="E56" s="4" t="inlineStr">
        <is>
          <t>Saint-Denis</t>
        </is>
      </c>
      <c r="F56" s="4" t="inlineStr">
        <is>
          <t>15 rue Pierre Aubert, Sainte-Clotilde, 97490</t>
        </is>
      </c>
      <c r="G56" s="4" t="inlineStr"/>
      <c r="H56" s="4" t="inlineStr"/>
      <c r="I56" s="4" t="inlineStr"/>
      <c r="J56" s="4" t="inlineStr">
        <is>
          <t>AKTO</t>
        </is>
      </c>
      <c r="K56" s="4" t="inlineStr">
        <is>
          <t>Tri de CV par IA = haut risque IA Act (annexe III) : audit + formation de vos chargés de recrutement.</t>
        </is>
      </c>
      <c r="L56" s="5" t="inlineStr">
        <is>
          <t>À qualifier</t>
        </is>
      </c>
      <c r="M56" s="6" t="inlineStr"/>
      <c r="N56" s="5" t="inlineStr"/>
      <c r="O56" s="4" t="inlineStr">
        <is>
          <t>https://www.pagesjaunes.fr/annuaire/saint-denis-974/agences-d-interim-et-d-emploi ; http://www.974job.com/agences ; https://www.randstad.fr/nos-agences/randstad-search-reunion_2970/</t>
        </is>
      </c>
      <c r="P56" s="4" t="inlineStr"/>
    </row>
    <row r="57">
      <c r="A57" s="4" t="n">
        <v>56</v>
      </c>
      <c r="B57" s="4" t="inlineStr">
        <is>
          <t>Randstad Search Réunion</t>
        </is>
      </c>
      <c r="C57" s="4" t="inlineStr">
        <is>
          <t>Intérim &amp; recrutement</t>
        </is>
      </c>
      <c r="D57" s="4" t="n">
        <v>2</v>
      </c>
      <c r="E57" s="4" t="inlineStr">
        <is>
          <t>Saint-Denis</t>
        </is>
      </c>
      <c r="F57" s="4" t="inlineStr">
        <is>
          <t>30 rue Labourdonnais, 97400</t>
        </is>
      </c>
      <c r="G57" s="4" t="inlineStr"/>
      <c r="H57" s="4" t="inlineStr"/>
      <c r="I57" s="4" t="inlineStr">
        <is>
          <t>https://www.randstad.fr/nos-agences/randstad-search-reunion_2970/</t>
        </is>
      </c>
      <c r="J57" s="4" t="inlineStr">
        <is>
          <t>AKTO</t>
        </is>
      </c>
      <c r="K57" s="4" t="inlineStr">
        <is>
          <t>Tri de CV par IA = haut risque IA Act (annexe III) : audit + formation de vos chargés de recrutement.</t>
        </is>
      </c>
      <c r="L57" s="5" t="inlineStr">
        <is>
          <t>À qualifier</t>
        </is>
      </c>
      <c r="M57" s="6" t="inlineStr"/>
      <c r="N57" s="5" t="inlineStr"/>
      <c r="O57" s="4" t="inlineStr">
        <is>
          <t>https://www.pagesjaunes.fr/annuaire/saint-denis-974/agences-d-interim-et-d-emploi ; http://www.974job.com/agences ; https://www.randstad.fr/nos-agences/randstad-search-reunion_2970/</t>
        </is>
      </c>
      <c r="P57" s="4" t="inlineStr"/>
    </row>
    <row r="58">
      <c r="A58" s="4" t="n">
        <v>57</v>
      </c>
      <c r="B58" s="4" t="inlineStr">
        <is>
          <t>Réunion Emploi Intérim</t>
        </is>
      </c>
      <c r="C58" s="4" t="inlineStr">
        <is>
          <t>Intérim &amp; recrutement</t>
        </is>
      </c>
      <c r="D58" s="4" t="n">
        <v>2</v>
      </c>
      <c r="E58" s="4" t="inlineStr">
        <is>
          <t>Saint-Denis</t>
        </is>
      </c>
      <c r="F58" s="4" t="inlineStr">
        <is>
          <t>45 av. Georges Brassens, Sainte-Clotilde, 97490</t>
        </is>
      </c>
      <c r="G58" s="4" t="inlineStr"/>
      <c r="H58" s="4" t="inlineStr"/>
      <c r="I58" s="4" t="inlineStr"/>
      <c r="J58" s="4" t="inlineStr">
        <is>
          <t>AKTO</t>
        </is>
      </c>
      <c r="K58" s="4" t="inlineStr">
        <is>
          <t>Tri de CV par IA = haut risque IA Act (annexe III) : audit + formation de vos chargés de recrutement.</t>
        </is>
      </c>
      <c r="L58" s="5" t="inlineStr">
        <is>
          <t>À qualifier</t>
        </is>
      </c>
      <c r="M58" s="6" t="inlineStr"/>
      <c r="N58" s="5" t="inlineStr"/>
      <c r="O58" s="4" t="inlineStr">
        <is>
          <t>https://www.pagesjaunes.fr/annuaire/saint-denis-974/agences-d-interim-et-d-emploi ; http://www.974job.com/agences ; https://www.randstad.fr/nos-agences/randstad-search-reunion_2970/</t>
        </is>
      </c>
      <c r="P58" s="4" t="inlineStr"/>
    </row>
    <row r="59">
      <c r="A59" s="4" t="n">
        <v>58</v>
      </c>
      <c r="B59" s="4" t="inlineStr">
        <is>
          <t>Service Intérim</t>
        </is>
      </c>
      <c r="C59" s="4" t="inlineStr">
        <is>
          <t>Intérim &amp; recrutement</t>
        </is>
      </c>
      <c r="D59" s="4" t="n">
        <v>2</v>
      </c>
      <c r="E59" s="4" t="inlineStr"/>
      <c r="F59" s="4" t="inlineStr"/>
      <c r="G59" s="4" t="inlineStr"/>
      <c r="H59" s="4" t="inlineStr"/>
      <c r="I59" s="4" t="inlineStr"/>
      <c r="J59" s="4" t="inlineStr">
        <is>
          <t>AKTO</t>
        </is>
      </c>
      <c r="K59" s="4" t="inlineStr">
        <is>
          <t>Tri de CV par IA = haut risque IA Act (annexe III) : audit + formation de vos chargés de recrutement.</t>
        </is>
      </c>
      <c r="L59" s="5" t="inlineStr">
        <is>
          <t>À qualifier</t>
        </is>
      </c>
      <c r="M59" s="6" t="inlineStr"/>
      <c r="N59" s="5" t="inlineStr"/>
      <c r="O59" s="4" t="inlineStr">
        <is>
          <t>https://www.pagesjaunes.fr/annuaire/saint-denis-974/agences-d-interim-et-d-emploi ; http://www.974job.com/agences ; https://www.randstad.fr/nos-agences/randstad-search-reunion_2970/</t>
        </is>
      </c>
      <c r="P59" s="4" t="inlineStr"/>
    </row>
    <row r="60">
      <c r="A60" s="4" t="n">
        <v>59</v>
      </c>
      <c r="B60" s="4" t="inlineStr">
        <is>
          <t>DSG Transit Repiquet</t>
        </is>
      </c>
      <c r="C60" s="4" t="inlineStr">
        <is>
          <t>Transport &amp; logistique</t>
        </is>
      </c>
      <c r="D60" s="4" t="n">
        <v>2</v>
      </c>
      <c r="E60" s="4" t="inlineStr">
        <is>
          <t>Le Port</t>
        </is>
      </c>
      <c r="F60" s="4" t="inlineStr">
        <is>
          <t>ZAC Belvédère, 17 rue Roland Hoareau, 97420</t>
        </is>
      </c>
      <c r="G60" s="4" t="inlineStr"/>
      <c r="H60" s="4" t="inlineStr"/>
      <c r="I60" s="4" t="inlineStr"/>
      <c r="J60" s="4" t="inlineStr">
        <is>
          <t>OPCO Mobilités</t>
        </is>
      </c>
      <c r="K60" s="4" t="inlineStr">
        <is>
          <t>Suivi d'expéditions, documents douaniers, emails clients : prompts métiers et règles de confidentialité (OPCO Mobilités).</t>
        </is>
      </c>
      <c r="L60" s="5" t="inlineStr">
        <is>
          <t>À qualifier</t>
        </is>
      </c>
      <c r="M60" s="6" t="inlineStr"/>
      <c r="N60" s="5" t="inlineStr"/>
      <c r="O60" s="4" t="inlineStr">
        <is>
          <t>https://fr.kompass.com/s/transports-et-logistique/10/v/le-port/fr_04_974_97407/ ; https://www.pagesjaunes.fr/annuaire/le-port-974/transport-logistique</t>
        </is>
      </c>
      <c r="P60" s="4" t="inlineStr"/>
    </row>
    <row r="61">
      <c r="A61" s="4" t="n">
        <v>60</v>
      </c>
      <c r="B61" s="4" t="inlineStr">
        <is>
          <t>HOLDTRANS</t>
        </is>
      </c>
      <c r="C61" s="4" t="inlineStr">
        <is>
          <t>Transport &amp; logistique</t>
        </is>
      </c>
      <c r="D61" s="4" t="n">
        <v>2</v>
      </c>
      <c r="E61" s="4" t="inlineStr">
        <is>
          <t>Le Port</t>
        </is>
      </c>
      <c r="F61" s="4" t="inlineStr">
        <is>
          <t>2 rue Charles Darwin, 97420</t>
        </is>
      </c>
      <c r="G61" s="4" t="inlineStr"/>
      <c r="H61" s="4" t="inlineStr"/>
      <c r="I61" s="4" t="inlineStr"/>
      <c r="J61" s="4" t="inlineStr">
        <is>
          <t>OPCO Mobilités</t>
        </is>
      </c>
      <c r="K61" s="4" t="inlineStr">
        <is>
          <t>Suivi d'expéditions, documents douaniers, emails clients : prompts métiers et règles de confidentialité (OPCO Mobilités).</t>
        </is>
      </c>
      <c r="L61" s="5" t="inlineStr">
        <is>
          <t>À qualifier</t>
        </is>
      </c>
      <c r="M61" s="6" t="inlineStr"/>
      <c r="N61" s="5" t="inlineStr"/>
      <c r="O61" s="4" t="inlineStr">
        <is>
          <t>https://fr.kompass.com/s/transports-et-logistique/10/v/le-port/fr_04_974_97407/ ; https://www.pagesjaunes.fr/annuaire/le-port-974/transport-logistique</t>
        </is>
      </c>
      <c r="P61" s="4" t="inlineStr"/>
    </row>
    <row r="62">
      <c r="A62" s="4" t="n">
        <v>61</v>
      </c>
      <c r="B62" s="4" t="inlineStr">
        <is>
          <t>Le Transit Norgat Fils (TNF)</t>
        </is>
      </c>
      <c r="C62" s="4" t="inlineStr">
        <is>
          <t>Transport &amp; logistique</t>
        </is>
      </c>
      <c r="D62" s="4" t="n">
        <v>2</v>
      </c>
      <c r="E62" s="4" t="inlineStr">
        <is>
          <t>Le Port</t>
        </is>
      </c>
      <c r="F62" s="4" t="inlineStr">
        <is>
          <t>2 rue Émile Verhaeren, 97420</t>
        </is>
      </c>
      <c r="G62" s="4" t="inlineStr"/>
      <c r="H62" s="4" t="inlineStr"/>
      <c r="I62" s="4" t="inlineStr"/>
      <c r="J62" s="4" t="inlineStr">
        <is>
          <t>OPCO Mobilités</t>
        </is>
      </c>
      <c r="K62" s="4" t="inlineStr">
        <is>
          <t>Suivi d'expéditions, documents douaniers, emails clients : prompts métiers et règles de confidentialité (OPCO Mobilités).</t>
        </is>
      </c>
      <c r="L62" s="5" t="inlineStr">
        <is>
          <t>À qualifier</t>
        </is>
      </c>
      <c r="M62" s="6" t="inlineStr"/>
      <c r="N62" s="5" t="inlineStr"/>
      <c r="O62" s="4" t="inlineStr">
        <is>
          <t>https://fr.kompass.com/s/transports-et-logistique/10/v/le-port/fr_04_974_97407/ ; https://www.pagesjaunes.fr/annuaire/le-port-974/transport-logistique</t>
        </is>
      </c>
      <c r="P62" s="4" t="inlineStr"/>
    </row>
    <row r="63">
      <c r="A63" s="4" t="n">
        <v>62</v>
      </c>
      <c r="B63" s="4" t="inlineStr">
        <is>
          <t>SNT – Société Nouvelle de Transport</t>
        </is>
      </c>
      <c r="C63" s="4" t="inlineStr">
        <is>
          <t>Transport &amp; logistique</t>
        </is>
      </c>
      <c r="D63" s="4" t="n">
        <v>2</v>
      </c>
      <c r="E63" s="4" t="inlineStr">
        <is>
          <t>Le Port</t>
        </is>
      </c>
      <c r="F63" s="4" t="inlineStr"/>
      <c r="G63" s="4" t="inlineStr"/>
      <c r="H63" s="4" t="inlineStr"/>
      <c r="I63" s="4" t="inlineStr"/>
      <c r="J63" s="4" t="inlineStr">
        <is>
          <t>OPCO Mobilités</t>
        </is>
      </c>
      <c r="K63" s="4" t="inlineStr">
        <is>
          <t>Suivi d'expéditions, documents douaniers, emails clients : prompts métiers et règles de confidentialité (OPCO Mobilités).</t>
        </is>
      </c>
      <c r="L63" s="5" t="inlineStr">
        <is>
          <t>À qualifier</t>
        </is>
      </c>
      <c r="M63" s="6" t="inlineStr"/>
      <c r="N63" s="5" t="inlineStr"/>
      <c r="O63" s="4" t="inlineStr">
        <is>
          <t>https://fr.kompass.com/s/transports-et-logistique/10/v/le-port/fr_04_974_97407/ ; https://www.pagesjaunes.fr/annuaire/le-port-974/transport-logistique</t>
        </is>
      </c>
      <c r="P63" s="4" t="inlineStr"/>
    </row>
    <row r="64">
      <c r="A64" s="4" t="n">
        <v>63</v>
      </c>
      <c r="B64" s="4" t="inlineStr">
        <is>
          <t>Schenker France (agence Réunion)</t>
        </is>
      </c>
      <c r="C64" s="4" t="inlineStr">
        <is>
          <t>Transport &amp; logistique</t>
        </is>
      </c>
      <c r="D64" s="4" t="n">
        <v>2</v>
      </c>
      <c r="E64" s="4" t="inlineStr">
        <is>
          <t>Le Port</t>
        </is>
      </c>
      <c r="F64" s="4" t="inlineStr">
        <is>
          <t>4 bis rue Paul Verlaine, 97420</t>
        </is>
      </c>
      <c r="G64" s="4" t="inlineStr"/>
      <c r="H64" s="4" t="inlineStr"/>
      <c r="I64" s="4" t="inlineStr"/>
      <c r="J64" s="4" t="inlineStr">
        <is>
          <t>OPCO Mobilités</t>
        </is>
      </c>
      <c r="K64" s="4" t="inlineStr">
        <is>
          <t>Suivi d'expéditions, documents douaniers, emails clients : prompts métiers et règles de confidentialité (OPCO Mobilités).</t>
        </is>
      </c>
      <c r="L64" s="5" t="inlineStr">
        <is>
          <t>À qualifier</t>
        </is>
      </c>
      <c r="M64" s="6" t="inlineStr"/>
      <c r="N64" s="5" t="inlineStr"/>
      <c r="O64" s="4" t="inlineStr">
        <is>
          <t>https://fr.kompass.com/s/transports-et-logistique/10/v/le-port/fr_04_974_97407/ ; https://www.pagesjaunes.fr/annuaire/le-port-974/transport-logistique</t>
        </is>
      </c>
      <c r="P64" s="4" t="inlineStr"/>
    </row>
    <row r="65">
      <c r="A65" s="4" t="n">
        <v>64</v>
      </c>
      <c r="B65" s="4" t="inlineStr">
        <is>
          <t>Sifa Réunion (Réunion Transit)</t>
        </is>
      </c>
      <c r="C65" s="4" t="inlineStr">
        <is>
          <t>Transport &amp; logistique</t>
        </is>
      </c>
      <c r="D65" s="4" t="n">
        <v>2</v>
      </c>
      <c r="E65" s="4" t="inlineStr">
        <is>
          <t>Le Port</t>
        </is>
      </c>
      <c r="F65" s="4" t="inlineStr">
        <is>
          <t>ZI n°3, 30 rue Sully Prud'homme, 97420</t>
        </is>
      </c>
      <c r="G65" s="4" t="inlineStr"/>
      <c r="H65" s="4" t="inlineStr"/>
      <c r="I65" s="4" t="inlineStr"/>
      <c r="J65" s="4" t="inlineStr">
        <is>
          <t>OPCO Mobilités</t>
        </is>
      </c>
      <c r="K65" s="4" t="inlineStr">
        <is>
          <t>Suivi d'expéditions, documents douaniers, emails clients : prompts métiers et règles de confidentialité (OPCO Mobilités).</t>
        </is>
      </c>
      <c r="L65" s="5" t="inlineStr">
        <is>
          <t>À qualifier</t>
        </is>
      </c>
      <c r="M65" s="6" t="inlineStr"/>
      <c r="N65" s="5" t="inlineStr"/>
      <c r="O65" s="4" t="inlineStr">
        <is>
          <t>https://fr.kompass.com/s/transports-et-logistique/10/v/le-port/fr_04_974_97407/ ; https://www.pagesjaunes.fr/annuaire/le-port-974/transport-logistique</t>
        </is>
      </c>
      <c r="P65" s="4" t="inlineStr"/>
    </row>
    <row r="66">
      <c r="A66" s="4" t="n">
        <v>65</v>
      </c>
      <c r="B66" s="4" t="inlineStr">
        <is>
          <t>Société Nouvelle Legarnisson (SNL)</t>
        </is>
      </c>
      <c r="C66" s="4" t="inlineStr">
        <is>
          <t>Transport &amp; logistique</t>
        </is>
      </c>
      <c r="D66" s="4" t="n">
        <v>2</v>
      </c>
      <c r="E66" s="4" t="inlineStr">
        <is>
          <t>Le Port</t>
        </is>
      </c>
      <c r="F66" s="4" t="inlineStr">
        <is>
          <t>21 rue Camille Desmoulins, 97420</t>
        </is>
      </c>
      <c r="G66" s="4" t="inlineStr"/>
      <c r="H66" s="4" t="inlineStr"/>
      <c r="I66" s="4" t="inlineStr"/>
      <c r="J66" s="4" t="inlineStr">
        <is>
          <t>OPCO Mobilités</t>
        </is>
      </c>
      <c r="K66" s="4" t="inlineStr">
        <is>
          <t>Suivi d'expéditions, documents douaniers, emails clients : prompts métiers et règles de confidentialité (OPCO Mobilités).</t>
        </is>
      </c>
      <c r="L66" s="5" t="inlineStr">
        <is>
          <t>À qualifier</t>
        </is>
      </c>
      <c r="M66" s="6" t="inlineStr"/>
      <c r="N66" s="5" t="inlineStr"/>
      <c r="O66" s="4" t="inlineStr">
        <is>
          <t>https://fr.kompass.com/s/transports-et-logistique/10/v/le-port/fr_04_974_97407/ ; https://www.pagesjaunes.fr/annuaire/le-port-974/transport-logistique</t>
        </is>
      </c>
      <c r="P66" s="4" t="inlineStr"/>
    </row>
    <row r="67">
      <c r="A67" s="4" t="n">
        <v>66</v>
      </c>
      <c r="B67" s="4" t="inlineStr">
        <is>
          <t>Transit Azélie C (TAC)</t>
        </is>
      </c>
      <c r="C67" s="4" t="inlineStr">
        <is>
          <t>Transport &amp; logistique</t>
        </is>
      </c>
      <c r="D67" s="4" t="n">
        <v>2</v>
      </c>
      <c r="E67" s="4" t="inlineStr">
        <is>
          <t>Le Port</t>
        </is>
      </c>
      <c r="F67" s="4" t="inlineStr">
        <is>
          <t>21 rue Léon de Lépervanche, 97420</t>
        </is>
      </c>
      <c r="G67" s="4" t="inlineStr"/>
      <c r="H67" s="4" t="inlineStr"/>
      <c r="I67" s="4" t="inlineStr"/>
      <c r="J67" s="4" t="inlineStr">
        <is>
          <t>OPCO Mobilités</t>
        </is>
      </c>
      <c r="K67" s="4" t="inlineStr">
        <is>
          <t>Suivi d'expéditions, documents douaniers, emails clients : prompts métiers et règles de confidentialité (OPCO Mobilités).</t>
        </is>
      </c>
      <c r="L67" s="5" t="inlineStr">
        <is>
          <t>À qualifier</t>
        </is>
      </c>
      <c r="M67" s="6" t="inlineStr"/>
      <c r="N67" s="5" t="inlineStr"/>
      <c r="O67" s="4" t="inlineStr">
        <is>
          <t>https://fr.kompass.com/s/transports-et-logistique/10/v/le-port/fr_04_974_97407/ ; https://www.pagesjaunes.fr/annuaire/le-port-974/transport-logistique</t>
        </is>
      </c>
      <c r="P67" s="4" t="inlineStr"/>
    </row>
    <row r="68">
      <c r="A68" s="4" t="n">
        <v>67</v>
      </c>
      <c r="B68" s="4" t="inlineStr">
        <is>
          <t>Air Voyages</t>
        </is>
      </c>
      <c r="C68" s="4" t="inlineStr">
        <is>
          <t>Agences de voyages</t>
        </is>
      </c>
      <c r="D68" s="4" t="n">
        <v>3</v>
      </c>
      <c r="E68" s="4" t="inlineStr">
        <is>
          <t>Saint-Denis</t>
        </is>
      </c>
      <c r="F68" s="4" t="inlineStr">
        <is>
          <t>7 rue Charles Gounod, 97400 (+ 40 rue des Bons Enfants, Saint-Pierre)</t>
        </is>
      </c>
      <c r="G68" s="4" t="inlineStr"/>
      <c r="H68" s="4" t="inlineStr"/>
      <c r="I68" s="4" t="inlineStr">
        <is>
          <t>https://www.airvoyages.fr/nos-agences</t>
        </is>
      </c>
      <c r="J68" s="4" t="inlineStr">
        <is>
          <t>À vérifier</t>
        </is>
      </c>
      <c r="K68" s="4" t="inlineStr">
        <is>
          <t>Programmes sur mesure, devis et emails clients en quelques minutes, sans fuite de données.</t>
        </is>
      </c>
      <c r="L68" s="5" t="inlineStr">
        <is>
          <t>À qualifier</t>
        </is>
      </c>
      <c r="M68" s="6" t="inlineStr"/>
      <c r="N68" s="5" t="inlineStr"/>
      <c r="O68" s="4" t="inlineStr">
        <is>
          <t>https://www.pagesjaunes.fr/annuaire/departement/la-reunion-974/agences-de-voyages ; https://www.airvoyages.fr/nos-agences ; https://www.selectour.com/agence/la-reunion/saint-denis/euro-voyages/13703</t>
        </is>
      </c>
      <c r="P68" s="4" t="inlineStr"/>
    </row>
    <row r="69">
      <c r="A69" s="4" t="n">
        <v>68</v>
      </c>
      <c r="B69" s="4" t="inlineStr">
        <is>
          <t>Bluesky</t>
        </is>
      </c>
      <c r="C69" s="4" t="inlineStr">
        <is>
          <t>Agences de voyages</t>
        </is>
      </c>
      <c r="D69" s="4" t="n">
        <v>3</v>
      </c>
      <c r="E69" s="4" t="inlineStr">
        <is>
          <t>Saint-Denis</t>
        </is>
      </c>
      <c r="F69" s="4" t="inlineStr">
        <is>
          <t>74 rue Juliette Dodu, 97400</t>
        </is>
      </c>
      <c r="G69" s="4" t="inlineStr"/>
      <c r="H69" s="4" t="inlineStr"/>
      <c r="I69" s="4" t="inlineStr"/>
      <c r="J69" s="4" t="inlineStr">
        <is>
          <t>À vérifier</t>
        </is>
      </c>
      <c r="K69" s="4" t="inlineStr">
        <is>
          <t>Programmes sur mesure, devis et emails clients en quelques minutes, sans fuite de données.</t>
        </is>
      </c>
      <c r="L69" s="5" t="inlineStr">
        <is>
          <t>À qualifier</t>
        </is>
      </c>
      <c r="M69" s="6" t="inlineStr"/>
      <c r="N69" s="5" t="inlineStr"/>
      <c r="O69" s="4" t="inlineStr">
        <is>
          <t>https://www.pagesjaunes.fr/annuaire/departement/la-reunion-974/agences-de-voyages ; https://www.airvoyages.fr/nos-agences ; https://www.selectour.com/agence/la-reunion/saint-denis/euro-voyages/13703</t>
        </is>
      </c>
      <c r="P69" s="4" t="inlineStr"/>
    </row>
    <row r="70">
      <c r="A70" s="4" t="n">
        <v>69</v>
      </c>
      <c r="B70" s="4" t="inlineStr">
        <is>
          <t>Euro Voyages (Selectour)</t>
        </is>
      </c>
      <c r="C70" s="4" t="inlineStr">
        <is>
          <t>Agences de voyages</t>
        </is>
      </c>
      <c r="D70" s="4" t="n">
        <v>3</v>
      </c>
      <c r="E70" s="4" t="inlineStr">
        <is>
          <t>Saint-Denis</t>
        </is>
      </c>
      <c r="F70" s="4" t="inlineStr">
        <is>
          <t>34 rue Issop Ravate, 97400</t>
        </is>
      </c>
      <c r="G70" s="4" t="inlineStr"/>
      <c r="H70" s="4" t="inlineStr"/>
      <c r="I70" s="4" t="inlineStr">
        <is>
          <t>https://www.selectour.com/agence/la-reunion/saint-denis/euro-voyages/13703</t>
        </is>
      </c>
      <c r="J70" s="4" t="inlineStr">
        <is>
          <t>À vérifier</t>
        </is>
      </c>
      <c r="K70" s="4" t="inlineStr">
        <is>
          <t>Programmes sur mesure, devis et emails clients en quelques minutes, sans fuite de données.</t>
        </is>
      </c>
      <c r="L70" s="5" t="inlineStr">
        <is>
          <t>À qualifier</t>
        </is>
      </c>
      <c r="M70" s="6" t="inlineStr"/>
      <c r="N70" s="5" t="inlineStr"/>
      <c r="O70" s="4" t="inlineStr">
        <is>
          <t>https://www.pagesjaunes.fr/annuaire/departement/la-reunion-974/agences-de-voyages ; https://www.airvoyages.fr/nos-agences ; https://www.selectour.com/agence/la-reunion/saint-denis/euro-voyages/13703</t>
        </is>
      </c>
      <c r="P70" s="4" t="inlineStr"/>
    </row>
    <row r="71">
      <c r="A71" s="4" t="n">
        <v>70</v>
      </c>
      <c r="B71" s="4" t="inlineStr">
        <is>
          <t>Havas Voyages Réunion</t>
        </is>
      </c>
      <c r="C71" s="4" t="inlineStr">
        <is>
          <t>Agences de voyages</t>
        </is>
      </c>
      <c r="D71" s="4" t="n">
        <v>3</v>
      </c>
      <c r="E71" s="4" t="inlineStr">
        <is>
          <t>Saint-Denis</t>
        </is>
      </c>
      <c r="F71" s="4" t="inlineStr">
        <is>
          <t>114 rue Juliette Dodu, 97400</t>
        </is>
      </c>
      <c r="G71" s="4" t="inlineStr"/>
      <c r="H71" s="4" t="inlineStr"/>
      <c r="I71" s="4" t="inlineStr"/>
      <c r="J71" s="4" t="inlineStr">
        <is>
          <t>À vérifier</t>
        </is>
      </c>
      <c r="K71" s="4" t="inlineStr">
        <is>
          <t>Programmes sur mesure, devis et emails clients en quelques minutes, sans fuite de données.</t>
        </is>
      </c>
      <c r="L71" s="5" t="inlineStr">
        <is>
          <t>À qualifier</t>
        </is>
      </c>
      <c r="M71" s="6" t="inlineStr"/>
      <c r="N71" s="5" t="inlineStr"/>
      <c r="O71" s="4" t="inlineStr">
        <is>
          <t>https://www.pagesjaunes.fr/annuaire/departement/la-reunion-974/agences-de-voyages ; https://www.airvoyages.fr/nos-agences ; https://www.selectour.com/agence/la-reunion/saint-denis/euro-voyages/13703</t>
        </is>
      </c>
      <c r="P71" s="4" t="inlineStr"/>
    </row>
    <row r="72">
      <c r="A72" s="4" t="n">
        <v>71</v>
      </c>
      <c r="B72" s="4" t="inlineStr">
        <is>
          <t>Marines Voyages</t>
        </is>
      </c>
      <c r="C72" s="4" t="inlineStr">
        <is>
          <t>Agences de voyages</t>
        </is>
      </c>
      <c r="D72" s="4" t="n">
        <v>3</v>
      </c>
      <c r="E72" s="4" t="inlineStr">
        <is>
          <t>Saint-Pierre</t>
        </is>
      </c>
      <c r="F72" s="4" t="inlineStr">
        <is>
          <t>1 boulevard Bank, 97410</t>
        </is>
      </c>
      <c r="G72" s="4" t="inlineStr"/>
      <c r="H72" s="4" t="inlineStr"/>
      <c r="I72" s="4" t="inlineStr"/>
      <c r="J72" s="4" t="inlineStr">
        <is>
          <t>À vérifier</t>
        </is>
      </c>
      <c r="K72" s="4" t="inlineStr">
        <is>
          <t>Programmes sur mesure, devis et emails clients en quelques minutes, sans fuite de données.</t>
        </is>
      </c>
      <c r="L72" s="5" t="inlineStr">
        <is>
          <t>À qualifier</t>
        </is>
      </c>
      <c r="M72" s="6" t="inlineStr"/>
      <c r="N72" s="5" t="inlineStr"/>
      <c r="O72" s="4" t="inlineStr">
        <is>
          <t>https://www.pagesjaunes.fr/annuaire/departement/la-reunion-974/agences-de-voyages ; https://www.airvoyages.fr/nos-agences ; https://www.selectour.com/agence/la-reunion/saint-denis/euro-voyages/13703</t>
        </is>
      </c>
      <c r="P72" s="4" t="inlineStr"/>
    </row>
    <row r="73">
      <c r="A73" s="4" t="n">
        <v>72</v>
      </c>
      <c r="B73" s="4" t="inlineStr">
        <is>
          <t>Odyssée</t>
        </is>
      </c>
      <c r="C73" s="4" t="inlineStr">
        <is>
          <t>Agences de voyages</t>
        </is>
      </c>
      <c r="D73" s="4" t="n">
        <v>3</v>
      </c>
      <c r="E73" s="4" t="inlineStr">
        <is>
          <t>Saint-Denis</t>
        </is>
      </c>
      <c r="F73" s="4" t="inlineStr">
        <is>
          <t>56 rue Jules Auber, 97400</t>
        </is>
      </c>
      <c r="G73" s="4" t="inlineStr"/>
      <c r="H73" s="4" t="inlineStr"/>
      <c r="I73" s="4" t="inlineStr"/>
      <c r="J73" s="4" t="inlineStr">
        <is>
          <t>À vérifier</t>
        </is>
      </c>
      <c r="K73" s="4" t="inlineStr">
        <is>
          <t>Programmes sur mesure, devis et emails clients en quelques minutes, sans fuite de données.</t>
        </is>
      </c>
      <c r="L73" s="5" t="inlineStr">
        <is>
          <t>À qualifier</t>
        </is>
      </c>
      <c r="M73" s="6" t="inlineStr"/>
      <c r="N73" s="5" t="inlineStr"/>
      <c r="O73" s="4" t="inlineStr">
        <is>
          <t>https://www.pagesjaunes.fr/annuaire/departement/la-reunion-974/agences-de-voyages ; https://www.airvoyages.fr/nos-agences ; https://www.selectour.com/agence/la-reunion/saint-denis/euro-voyages/13703</t>
        </is>
      </c>
      <c r="P73" s="4" t="inlineStr"/>
    </row>
    <row r="74">
      <c r="A74" s="4" t="n">
        <v>73</v>
      </c>
      <c r="B74" s="4" t="inlineStr">
        <is>
          <t>Transcontinents</t>
        </is>
      </c>
      <c r="C74" s="4" t="inlineStr">
        <is>
          <t>Agences de voyages</t>
        </is>
      </c>
      <c r="D74" s="4" t="n">
        <v>3</v>
      </c>
      <c r="E74" s="4" t="inlineStr">
        <is>
          <t>Saint-Denis</t>
        </is>
      </c>
      <c r="F74" s="4" t="inlineStr">
        <is>
          <t>248 rue du Maréchal Leclerc, 97400 (+ 18 bd Hubert Delisle, Saint-Pierre)</t>
        </is>
      </c>
      <c r="G74" s="4" t="inlineStr"/>
      <c r="H74" s="4" t="inlineStr"/>
      <c r="I74" s="4" t="inlineStr"/>
      <c r="J74" s="4" t="inlineStr">
        <is>
          <t>À vérifier</t>
        </is>
      </c>
      <c r="K74" s="4" t="inlineStr">
        <is>
          <t>Programmes sur mesure, devis et emails clients en quelques minutes, sans fuite de données.</t>
        </is>
      </c>
      <c r="L74" s="5" t="inlineStr">
        <is>
          <t>À qualifier</t>
        </is>
      </c>
      <c r="M74" s="6" t="inlineStr"/>
      <c r="N74" s="5" t="inlineStr"/>
      <c r="O74" s="4" t="inlineStr">
        <is>
          <t>https://www.pagesjaunes.fr/annuaire/departement/la-reunion-974/agences-de-voyages ; https://www.airvoyages.fr/nos-agences ; https://www.selectour.com/agence/la-reunion/saint-denis/euro-voyages/13703</t>
        </is>
      </c>
      <c r="P74" s="4" t="inlineStr"/>
    </row>
    <row r="75">
      <c r="A75" s="4" t="n">
        <v>74</v>
      </c>
      <c r="B75" s="4" t="inlineStr">
        <is>
          <t>Voyages Réunion</t>
        </is>
      </c>
      <c r="C75" s="4" t="inlineStr">
        <is>
          <t>Agences de voyages</t>
        </is>
      </c>
      <c r="D75" s="4" t="n">
        <v>3</v>
      </c>
      <c r="E75" s="4" t="inlineStr">
        <is>
          <t>Saint-Pierre</t>
        </is>
      </c>
      <c r="F75" s="4" t="inlineStr">
        <is>
          <t>C. Cial Grand Large, allée Petit Paris, 97410</t>
        </is>
      </c>
      <c r="G75" s="4" t="inlineStr"/>
      <c r="H75" s="4" t="inlineStr"/>
      <c r="I75" s="4" t="inlineStr"/>
      <c r="J75" s="4" t="inlineStr">
        <is>
          <t>À vérifier</t>
        </is>
      </c>
      <c r="K75" s="4" t="inlineStr">
        <is>
          <t>Programmes sur mesure, devis et emails clients en quelques minutes, sans fuite de données.</t>
        </is>
      </c>
      <c r="L75" s="5" t="inlineStr">
        <is>
          <t>À qualifier</t>
        </is>
      </c>
      <c r="M75" s="6" t="inlineStr"/>
      <c r="N75" s="5" t="inlineStr"/>
      <c r="O75" s="4" t="inlineStr">
        <is>
          <t>https://www.pagesjaunes.fr/annuaire/departement/la-reunion-974/agences-de-voyages ; https://www.airvoyages.fr/nos-agences ; https://www.selectour.com/agence/la-reunion/saint-denis/euro-voyages/13703</t>
        </is>
      </c>
      <c r="P75" s="4" t="inlineStr"/>
    </row>
    <row r="76">
      <c r="A76" s="4" t="n">
        <v>75</v>
      </c>
      <c r="B76" s="4" t="inlineStr">
        <is>
          <t>Yes We Can Travel</t>
        </is>
      </c>
      <c r="C76" s="4" t="inlineStr">
        <is>
          <t>Agences de voyages</t>
        </is>
      </c>
      <c r="D76" s="4" t="n">
        <v>3</v>
      </c>
      <c r="E76" s="4" t="inlineStr">
        <is>
          <t>Saint-Denis</t>
        </is>
      </c>
      <c r="F76" s="4" t="inlineStr">
        <is>
          <t>5 rue Charles Gounod, 97400</t>
        </is>
      </c>
      <c r="G76" s="4" t="inlineStr"/>
      <c r="H76" s="4" t="inlineStr"/>
      <c r="I76" s="4" t="inlineStr"/>
      <c r="J76" s="4" t="inlineStr">
        <is>
          <t>À vérifier</t>
        </is>
      </c>
      <c r="K76" s="4" t="inlineStr">
        <is>
          <t>Programmes sur mesure, devis et emails clients en quelques minutes, sans fuite de données.</t>
        </is>
      </c>
      <c r="L76" s="5" t="inlineStr">
        <is>
          <t>À qualifier</t>
        </is>
      </c>
      <c r="M76" s="6" t="inlineStr"/>
      <c r="N76" s="5" t="inlineStr"/>
      <c r="O76" s="4" t="inlineStr">
        <is>
          <t>https://www.pagesjaunes.fr/annuaire/departement/la-reunion-974/agences-de-voyages ; https://www.airvoyages.fr/nos-agences ; https://www.selectour.com/agence/la-reunion/saint-denis/euro-voyages/13703</t>
        </is>
      </c>
      <c r="P76" s="4" t="inlineStr"/>
    </row>
    <row r="77">
      <c r="A77" s="4" t="n">
        <v>76</v>
      </c>
      <c r="B77" s="4" t="inlineStr">
        <is>
          <t>Automobiles Réunion SN – Renault / Dacia</t>
        </is>
      </c>
      <c r="C77" s="4" t="inlineStr">
        <is>
          <t>Automobile</t>
        </is>
      </c>
      <c r="D77" s="4" t="n">
        <v>3</v>
      </c>
      <c r="E77" s="4" t="inlineStr">
        <is>
          <t>Le Port</t>
        </is>
      </c>
      <c r="F77" s="4" t="inlineStr">
        <is>
          <t>ZAC 2000, 15 rue Charles Darwin, 97420</t>
        </is>
      </c>
      <c r="G77" s="4" t="inlineStr"/>
      <c r="H77" s="4" t="inlineStr"/>
      <c r="I77" s="4" t="inlineStr"/>
      <c r="J77" s="4" t="inlineStr">
        <is>
          <t>OPCO Mobilités</t>
        </is>
      </c>
      <c r="K77" s="4" t="inlineStr">
        <is>
          <t>Relances clients, annonces VO, réponses aux avis : l'IA pour vos équipes commerciales et après-vente (OPCO Mobilités).</t>
        </is>
      </c>
      <c r="L77" s="5" t="inlineStr">
        <is>
          <t>À qualifier</t>
        </is>
      </c>
      <c r="M77" s="6" t="inlineStr"/>
      <c r="N77" s="5" t="inlineStr"/>
      <c r="O77" s="4" t="inlineStr">
        <is>
          <t>https://www.reunion-directory.com/professions/automobile-concessions-agents-.html ; https://www.pagesjaunes.fr/pros/07476950</t>
        </is>
      </c>
      <c r="P77" s="4" t="inlineStr"/>
    </row>
    <row r="78">
      <c r="A78" s="4" t="n">
        <v>77</v>
      </c>
      <c r="B78" s="4" t="inlineStr">
        <is>
          <t>Bamytrucks (Mercedes-Benz Trucks, Iveco, DAF)</t>
        </is>
      </c>
      <c r="C78" s="4" t="inlineStr">
        <is>
          <t>Automobile</t>
        </is>
      </c>
      <c r="D78" s="4" t="n">
        <v>3</v>
      </c>
      <c r="E78" s="4" t="inlineStr">
        <is>
          <t>Le Port</t>
        </is>
      </c>
      <c r="F78" s="4" t="inlineStr"/>
      <c r="G78" s="4" t="inlineStr"/>
      <c r="H78" s="4" t="inlineStr"/>
      <c r="I78" s="4" t="inlineStr"/>
      <c r="J78" s="4" t="inlineStr">
        <is>
          <t>OPCO Mobilités</t>
        </is>
      </c>
      <c r="K78" s="4" t="inlineStr">
        <is>
          <t>Relances clients, annonces VO, réponses aux avis : l'IA pour vos équipes commerciales et après-vente (OPCO Mobilités).</t>
        </is>
      </c>
      <c r="L78" s="5" t="inlineStr">
        <is>
          <t>À qualifier</t>
        </is>
      </c>
      <c r="M78" s="6" t="inlineStr"/>
      <c r="N78" s="5" t="inlineStr"/>
      <c r="O78" s="4" t="inlineStr">
        <is>
          <t>https://www.reunion-directory.com/professions/automobile-concessions-agents-.html ; https://www.pagesjaunes.fr/pros/07476950</t>
        </is>
      </c>
      <c r="P78" s="4" t="inlineStr"/>
    </row>
    <row r="79">
      <c r="A79" s="4" t="n">
        <v>78</v>
      </c>
      <c r="B79" s="4" t="inlineStr">
        <is>
          <t>CAT (Nissan, Seat, Honda, Opel…)</t>
        </is>
      </c>
      <c r="C79" s="4" t="inlineStr">
        <is>
          <t>Automobile</t>
        </is>
      </c>
      <c r="D79" s="4" t="n">
        <v>3</v>
      </c>
      <c r="E79" s="4" t="inlineStr">
        <is>
          <t>Saint-Denis</t>
        </is>
      </c>
      <c r="F79" s="4" t="inlineStr"/>
      <c r="G79" s="4" t="inlineStr"/>
      <c r="H79" s="4" t="inlineStr"/>
      <c r="I79" s="4" t="inlineStr"/>
      <c r="J79" s="4" t="inlineStr">
        <is>
          <t>OPCO Mobilités</t>
        </is>
      </c>
      <c r="K79" s="4" t="inlineStr">
        <is>
          <t>Relances clients, annonces VO, réponses aux avis : l'IA pour vos équipes commerciales et après-vente (OPCO Mobilités).</t>
        </is>
      </c>
      <c r="L79" s="5" t="inlineStr">
        <is>
          <t>À qualifier</t>
        </is>
      </c>
      <c r="M79" s="6" t="inlineStr"/>
      <c r="N79" s="5" t="inlineStr"/>
      <c r="O79" s="4" t="inlineStr">
        <is>
          <t>https://www.reunion-directory.com/professions/automobile-concessions-agents-.html ; https://www.pagesjaunes.fr/pros/07476950</t>
        </is>
      </c>
      <c r="P79" s="4" t="inlineStr"/>
    </row>
    <row r="80">
      <c r="A80" s="4" t="n">
        <v>79</v>
      </c>
      <c r="B80" s="4" t="inlineStr">
        <is>
          <t>CMM Automobiles (groupe CFAO) – Toyota, Ford, Volvo</t>
        </is>
      </c>
      <c r="C80" s="4" t="inlineStr">
        <is>
          <t>Automobile</t>
        </is>
      </c>
      <c r="D80" s="4" t="n">
        <v>3</v>
      </c>
      <c r="E80" s="4" t="inlineStr">
        <is>
          <t>Le Port</t>
        </is>
      </c>
      <c r="F80" s="4" t="inlineStr">
        <is>
          <t>4 chemin des Anglais, 97420 (+ 4 chemin du Grand Canal, Saint-Denis)</t>
        </is>
      </c>
      <c r="G80" s="4" t="inlineStr"/>
      <c r="H80" s="4" t="inlineStr"/>
      <c r="I80" s="4" t="inlineStr"/>
      <c r="J80" s="4" t="inlineStr">
        <is>
          <t>OPCO Mobilités</t>
        </is>
      </c>
      <c r="K80" s="4" t="inlineStr">
        <is>
          <t>Relances clients, annonces VO, réponses aux avis : l'IA pour vos équipes commerciales et après-vente (OPCO Mobilités).</t>
        </is>
      </c>
      <c r="L80" s="5" t="inlineStr">
        <is>
          <t>À qualifier</t>
        </is>
      </c>
      <c r="M80" s="6" t="inlineStr"/>
      <c r="N80" s="5" t="inlineStr"/>
      <c r="O80" s="4" t="inlineStr">
        <is>
          <t>https://www.reunion-directory.com/professions/automobile-concessions-agents-.html ; https://www.pagesjaunes.fr/pros/07476950</t>
        </is>
      </c>
      <c r="P80" s="4" t="inlineStr"/>
    </row>
    <row r="81">
      <c r="A81" s="4" t="n">
        <v>80</v>
      </c>
      <c r="B81" s="4" t="inlineStr">
        <is>
          <t>Hyundai Réunion</t>
        </is>
      </c>
      <c r="C81" s="4" t="inlineStr">
        <is>
          <t>Automobile</t>
        </is>
      </c>
      <c r="D81" s="4" t="n">
        <v>3</v>
      </c>
      <c r="E81" s="4" t="inlineStr">
        <is>
          <t>Saint-Denis</t>
        </is>
      </c>
      <c r="F81" s="4" t="inlineStr"/>
      <c r="G81" s="4" t="inlineStr"/>
      <c r="H81" s="4" t="inlineStr"/>
      <c r="I81" s="4" t="inlineStr"/>
      <c r="J81" s="4" t="inlineStr">
        <is>
          <t>OPCO Mobilités</t>
        </is>
      </c>
      <c r="K81" s="4" t="inlineStr">
        <is>
          <t>Relances clients, annonces VO, réponses aux avis : l'IA pour vos équipes commerciales et après-vente (OPCO Mobilités).</t>
        </is>
      </c>
      <c r="L81" s="5" t="inlineStr">
        <is>
          <t>À qualifier</t>
        </is>
      </c>
      <c r="M81" s="6" t="inlineStr"/>
      <c r="N81" s="5" t="inlineStr"/>
      <c r="O81" s="4" t="inlineStr">
        <is>
          <t>https://www.reunion-directory.com/professions/automobile-concessions-agents-.html ; https://www.pagesjaunes.fr/pros/07476950</t>
        </is>
      </c>
      <c r="P81" s="4" t="inlineStr"/>
    </row>
    <row r="82">
      <c r="A82" s="4" t="n">
        <v>81</v>
      </c>
      <c r="B82" s="4" t="inlineStr">
        <is>
          <t>JS Auto 974</t>
        </is>
      </c>
      <c r="C82" s="4" t="inlineStr">
        <is>
          <t>Automobile</t>
        </is>
      </c>
      <c r="D82" s="4" t="n">
        <v>3</v>
      </c>
      <c r="E82" s="4" t="inlineStr"/>
      <c r="F82" s="4" t="inlineStr"/>
      <c r="G82" s="4" t="inlineStr"/>
      <c r="H82" s="4" t="inlineStr"/>
      <c r="I82" s="4" t="inlineStr">
        <is>
          <t>https://www.jsauto974.com/</t>
        </is>
      </c>
      <c r="J82" s="4" t="inlineStr">
        <is>
          <t>OPCO Mobilités</t>
        </is>
      </c>
      <c r="K82" s="4" t="inlineStr">
        <is>
          <t>Relances clients, annonces VO, réponses aux avis : l'IA pour vos équipes commerciales et après-vente (OPCO Mobilités).</t>
        </is>
      </c>
      <c r="L82" s="5" t="inlineStr">
        <is>
          <t>À qualifier</t>
        </is>
      </c>
      <c r="M82" s="6" t="inlineStr"/>
      <c r="N82" s="5" t="inlineStr"/>
      <c r="O82" s="4" t="inlineStr">
        <is>
          <t>https://www.reunion-directory.com/professions/automobile-concessions-agents-.html ; https://www.pagesjaunes.fr/pros/07476950</t>
        </is>
      </c>
      <c r="P82" s="4" t="inlineStr"/>
    </row>
    <row r="83">
      <c r="A83" s="4" t="n">
        <v>82</v>
      </c>
      <c r="B83" s="4" t="inlineStr">
        <is>
          <t>Leal Réunion (BMW, Mini)</t>
        </is>
      </c>
      <c r="C83" s="4" t="inlineStr">
        <is>
          <t>Automobile</t>
        </is>
      </c>
      <c r="D83" s="4" t="n">
        <v>3</v>
      </c>
      <c r="E83" s="4" t="inlineStr">
        <is>
          <t>Saint-Denis</t>
        </is>
      </c>
      <c r="F83" s="4" t="inlineStr"/>
      <c r="G83" s="4" t="inlineStr"/>
      <c r="H83" s="4" t="inlineStr"/>
      <c r="I83" s="4" t="inlineStr"/>
      <c r="J83" s="4" t="inlineStr">
        <is>
          <t>OPCO Mobilités</t>
        </is>
      </c>
      <c r="K83" s="4" t="inlineStr">
        <is>
          <t>Relances clients, annonces VO, réponses aux avis : l'IA pour vos équipes commerciales et après-vente (OPCO Mobilités).</t>
        </is>
      </c>
      <c r="L83" s="5" t="inlineStr">
        <is>
          <t>À qualifier</t>
        </is>
      </c>
      <c r="M83" s="6" t="inlineStr"/>
      <c r="N83" s="5" t="inlineStr"/>
      <c r="O83" s="4" t="inlineStr">
        <is>
          <t>https://www.reunion-directory.com/professions/automobile-concessions-agents-.html ; https://www.pagesjaunes.fr/pros/07476950</t>
        </is>
      </c>
      <c r="P83" s="4" t="inlineStr"/>
    </row>
    <row r="84">
      <c r="A84" s="4" t="n">
        <v>83</v>
      </c>
      <c r="B84" s="4" t="inlineStr">
        <is>
          <t>Archipel (résidence hôtelière)</t>
        </is>
      </c>
      <c r="C84" s="4" t="inlineStr">
        <is>
          <t>Hôtellerie</t>
        </is>
      </c>
      <c r="D84" s="4" t="n">
        <v>3</v>
      </c>
      <c r="E84" s="4" t="inlineStr">
        <is>
          <t>Saint-Paul</t>
        </is>
      </c>
      <c r="F84" s="4" t="inlineStr">
        <is>
          <t>Saint-Gilles-les-Bains</t>
        </is>
      </c>
      <c r="G84" s="4" t="inlineStr"/>
      <c r="H84" s="4" t="inlineStr"/>
      <c r="I84" s="4" t="inlineStr"/>
      <c r="J84" s="4" t="inlineStr">
        <is>
          <t>AKTO</t>
        </is>
      </c>
      <c r="K84" s="4" t="inlineStr">
        <is>
          <t>Réponses aux avis, emails multilingues, fiches séjour : l'IA pour vos équipes de réception (OPCO AKTO).</t>
        </is>
      </c>
      <c r="L84" s="5" t="inlineStr">
        <is>
          <t>À qualifier</t>
        </is>
      </c>
      <c r="M84" s="6" t="inlineStr"/>
      <c r="N84" s="5" t="inlineStr"/>
      <c r="O84" s="4" t="inlineStr">
        <is>
          <t>https://www.reunion.fr/organisez/vos-activites/le-tour-de-l-ile-de-la-reunion/les-etapes-incontournables/saint-denis/hotels-4-etoiles-saint-denis/ ; https://hotels.ile-delareunion.com/fr/hotels-3-etoiles/</t>
        </is>
      </c>
      <c r="P84" s="4" t="inlineStr"/>
    </row>
    <row r="85">
      <c r="A85" s="4" t="n">
        <v>84</v>
      </c>
      <c r="B85" s="4" t="inlineStr">
        <is>
          <t>Golden Tulip Sainte-Clotilde</t>
        </is>
      </c>
      <c r="C85" s="4" t="inlineStr">
        <is>
          <t>Hôtellerie</t>
        </is>
      </c>
      <c r="D85" s="4" t="n">
        <v>3</v>
      </c>
      <c r="E85" s="4" t="inlineStr">
        <is>
          <t>Saint-Denis</t>
        </is>
      </c>
      <c r="F85" s="4" t="inlineStr"/>
      <c r="G85" s="4" t="inlineStr"/>
      <c r="H85" s="4" t="inlineStr"/>
      <c r="I85" s="4" t="inlineStr">
        <is>
          <t>https://www.goldentulip.com/en-us/our-hotels/la-reunion/hotels-saint-denis/</t>
        </is>
      </c>
      <c r="J85" s="4" t="inlineStr">
        <is>
          <t>AKTO</t>
        </is>
      </c>
      <c r="K85" s="4" t="inlineStr">
        <is>
          <t>Réponses aux avis, emails multilingues, fiches séjour : l'IA pour vos équipes de réception (OPCO AKTO).</t>
        </is>
      </c>
      <c r="L85" s="5" t="inlineStr">
        <is>
          <t>À qualifier</t>
        </is>
      </c>
      <c r="M85" s="6" t="inlineStr"/>
      <c r="N85" s="5" t="inlineStr"/>
      <c r="O85" s="4" t="inlineStr">
        <is>
          <t>https://www.reunion.fr/organisez/vos-activites/le-tour-de-l-ile-de-la-reunion/les-etapes-incontournables/saint-denis/hotels-4-etoiles-saint-denis/ ; https://hotels.ile-delareunion.com/fr/hotels-3-etoiles/</t>
        </is>
      </c>
      <c r="P85" s="4" t="inlineStr"/>
    </row>
    <row r="86">
      <c r="A86" s="4" t="n">
        <v>85</v>
      </c>
      <c r="B86" s="4" t="inlineStr">
        <is>
          <t>Hôtel Austral by Exsel</t>
        </is>
      </c>
      <c r="C86" s="4" t="inlineStr">
        <is>
          <t>Hôtellerie</t>
        </is>
      </c>
      <c r="D86" s="4" t="n">
        <v>3</v>
      </c>
      <c r="E86" s="4" t="inlineStr">
        <is>
          <t>Saint-Denis</t>
        </is>
      </c>
      <c r="F86" s="4" t="inlineStr"/>
      <c r="G86" s="4" t="inlineStr"/>
      <c r="H86" s="4" t="inlineStr"/>
      <c r="I86" s="4" t="inlineStr"/>
      <c r="J86" s="4" t="inlineStr">
        <is>
          <t>AKTO</t>
        </is>
      </c>
      <c r="K86" s="4" t="inlineStr">
        <is>
          <t>Réponses aux avis, emails multilingues, fiches séjour : l'IA pour vos équipes de réception (OPCO AKTO).</t>
        </is>
      </c>
      <c r="L86" s="5" t="inlineStr">
        <is>
          <t>À qualifier</t>
        </is>
      </c>
      <c r="M86" s="6" t="inlineStr"/>
      <c r="N86" s="5" t="inlineStr"/>
      <c r="O86" s="4" t="inlineStr">
        <is>
          <t>https://www.reunion.fr/organisez/vos-activites/le-tour-de-l-ile-de-la-reunion/les-etapes-incontournables/saint-denis/hotels-4-etoiles-saint-denis/ ; https://hotels.ile-delareunion.com/fr/hotels-3-etoiles/</t>
        </is>
      </c>
      <c r="P86" s="4" t="inlineStr"/>
    </row>
    <row r="87">
      <c r="A87" s="4" t="n">
        <v>86</v>
      </c>
      <c r="B87" s="4" t="inlineStr">
        <is>
          <t>Hôtel Exsel Créolia</t>
        </is>
      </c>
      <c r="C87" s="4" t="inlineStr">
        <is>
          <t>Hôtellerie</t>
        </is>
      </c>
      <c r="D87" s="4" t="n">
        <v>3</v>
      </c>
      <c r="E87" s="4" t="inlineStr">
        <is>
          <t>Saint-Denis</t>
        </is>
      </c>
      <c r="F87" s="4" t="inlineStr"/>
      <c r="G87" s="4" t="inlineStr"/>
      <c r="H87" s="4" t="inlineStr"/>
      <c r="I87" s="4" t="inlineStr"/>
      <c r="J87" s="4" t="inlineStr">
        <is>
          <t>AKTO</t>
        </is>
      </c>
      <c r="K87" s="4" t="inlineStr">
        <is>
          <t>Réponses aux avis, emails multilingues, fiches séjour : l'IA pour vos équipes de réception (OPCO AKTO).</t>
        </is>
      </c>
      <c r="L87" s="5" t="inlineStr">
        <is>
          <t>À qualifier</t>
        </is>
      </c>
      <c r="M87" s="6" t="inlineStr"/>
      <c r="N87" s="5" t="inlineStr"/>
      <c r="O87" s="4" t="inlineStr">
        <is>
          <t>https://www.reunion.fr/organisez/vos-activites/le-tour-de-l-ile-de-la-reunion/les-etapes-incontournables/saint-denis/hotels-4-etoiles-saint-denis/ ; https://hotels.ile-delareunion.com/fr/hotels-3-etoiles/</t>
        </is>
      </c>
      <c r="P87" s="4" t="inlineStr"/>
    </row>
    <row r="88">
      <c r="A88" s="4" t="n">
        <v>87</v>
      </c>
      <c r="B88" s="4" t="inlineStr">
        <is>
          <t>Hôtel Exsel Ermitage</t>
        </is>
      </c>
      <c r="C88" s="4" t="inlineStr">
        <is>
          <t>Hôtellerie</t>
        </is>
      </c>
      <c r="D88" s="4" t="n">
        <v>3</v>
      </c>
      <c r="E88" s="4" t="inlineStr">
        <is>
          <t>Saint-Paul</t>
        </is>
      </c>
      <c r="F88" s="4" t="inlineStr">
        <is>
          <t>Saint-Gilles-les-Bains</t>
        </is>
      </c>
      <c r="G88" s="4" t="inlineStr"/>
      <c r="H88" s="4" t="inlineStr"/>
      <c r="I88" s="4" t="inlineStr"/>
      <c r="J88" s="4" t="inlineStr">
        <is>
          <t>AKTO</t>
        </is>
      </c>
      <c r="K88" s="4" t="inlineStr">
        <is>
          <t>Réponses aux avis, emails multilingues, fiches séjour : l'IA pour vos équipes de réception (OPCO AKTO).</t>
        </is>
      </c>
      <c r="L88" s="5" t="inlineStr">
        <is>
          <t>À qualifier</t>
        </is>
      </c>
      <c r="M88" s="6" t="inlineStr"/>
      <c r="N88" s="5" t="inlineStr"/>
      <c r="O88" s="4" t="inlineStr">
        <is>
          <t>https://www.reunion.fr/organisez/vos-activites/le-tour-de-l-ile-de-la-reunion/les-etapes-incontournables/saint-denis/hotels-4-etoiles-saint-denis/ ; https://hotels.ile-delareunion.com/fr/hotels-3-etoiles/</t>
        </is>
      </c>
      <c r="P88" s="4" t="inlineStr"/>
    </row>
    <row r="89">
      <c r="A89" s="4" t="n">
        <v>88</v>
      </c>
      <c r="B89" s="4" t="inlineStr">
        <is>
          <t>Le Boucan Canot</t>
        </is>
      </c>
      <c r="C89" s="4" t="inlineStr">
        <is>
          <t>Hôtellerie</t>
        </is>
      </c>
      <c r="D89" s="4" t="n">
        <v>3</v>
      </c>
      <c r="E89" s="4" t="inlineStr">
        <is>
          <t>Saint-Paul</t>
        </is>
      </c>
      <c r="F89" s="4" t="inlineStr">
        <is>
          <t>Boucan Canot</t>
        </is>
      </c>
      <c r="G89" s="4" t="inlineStr"/>
      <c r="H89" s="4" t="inlineStr"/>
      <c r="I89" s="4" t="inlineStr"/>
      <c r="J89" s="4" t="inlineStr">
        <is>
          <t>AKTO</t>
        </is>
      </c>
      <c r="K89" s="4" t="inlineStr">
        <is>
          <t>Réponses aux avis, emails multilingues, fiches séjour : l'IA pour vos équipes de réception (OPCO AKTO).</t>
        </is>
      </c>
      <c r="L89" s="5" t="inlineStr">
        <is>
          <t>À qualifier</t>
        </is>
      </c>
      <c r="M89" s="6" t="inlineStr"/>
      <c r="N89" s="5" t="inlineStr"/>
      <c r="O89" s="4" t="inlineStr">
        <is>
          <t>https://www.reunion.fr/organisez/vos-activites/le-tour-de-l-ile-de-la-reunion/les-etapes-incontournables/saint-denis/hotels-4-etoiles-saint-denis/ ; https://hotels.ile-delareunion.com/fr/hotels-3-etoiles/</t>
        </is>
      </c>
      <c r="P89" s="4" t="inlineStr"/>
    </row>
    <row r="90">
      <c r="A90" s="4" t="n">
        <v>89</v>
      </c>
      <c r="B90" s="4" t="inlineStr">
        <is>
          <t>Le Juliette Dodu</t>
        </is>
      </c>
      <c r="C90" s="4" t="inlineStr">
        <is>
          <t>Hôtellerie</t>
        </is>
      </c>
      <c r="D90" s="4" t="n">
        <v>3</v>
      </c>
      <c r="E90" s="4" t="inlineStr">
        <is>
          <t>Saint-Denis</t>
        </is>
      </c>
      <c r="F90" s="4" t="inlineStr"/>
      <c r="G90" s="4" t="inlineStr"/>
      <c r="H90" s="4" t="inlineStr"/>
      <c r="I90" s="4" t="inlineStr"/>
      <c r="J90" s="4" t="inlineStr">
        <is>
          <t>AKTO</t>
        </is>
      </c>
      <c r="K90" s="4" t="inlineStr">
        <is>
          <t>Réponses aux avis, emails multilingues, fiches séjour : l'IA pour vos équipes de réception (OPCO AKTO).</t>
        </is>
      </c>
      <c r="L90" s="5" t="inlineStr">
        <is>
          <t>À qualifier</t>
        </is>
      </c>
      <c r="M90" s="6" t="inlineStr"/>
      <c r="N90" s="5" t="inlineStr"/>
      <c r="O90" s="4" t="inlineStr">
        <is>
          <t>https://www.reunion.fr/organisez/vos-activites/le-tour-de-l-ile-de-la-reunion/les-etapes-incontournables/saint-denis/hotels-4-etoiles-saint-denis/ ; https://hotels.ile-delareunion.com/fr/hotels-3-etoiles/</t>
        </is>
      </c>
      <c r="P90" s="4" t="inlineStr"/>
    </row>
    <row r="91">
      <c r="A91" s="4" t="n">
        <v>90</v>
      </c>
      <c r="B91" s="4" t="inlineStr">
        <is>
          <t>Le Récif Saint-Gilles (groupe LUX*)</t>
        </is>
      </c>
      <c r="C91" s="4" t="inlineStr">
        <is>
          <t>Hôtellerie</t>
        </is>
      </c>
      <c r="D91" s="4" t="n">
        <v>3</v>
      </c>
      <c r="E91" s="4" t="inlineStr">
        <is>
          <t>Saint-Paul</t>
        </is>
      </c>
      <c r="F91" s="4" t="inlineStr">
        <is>
          <t>Saint-Gilles-les-Bains</t>
        </is>
      </c>
      <c r="G91" s="4" t="inlineStr"/>
      <c r="H91" s="4" t="inlineStr"/>
      <c r="I91" s="4" t="inlineStr"/>
      <c r="J91" s="4" t="inlineStr">
        <is>
          <t>AKTO</t>
        </is>
      </c>
      <c r="K91" s="4" t="inlineStr">
        <is>
          <t>Réponses aux avis, emails multilingues, fiches séjour : l'IA pour vos équipes de réception (OPCO AKTO).</t>
        </is>
      </c>
      <c r="L91" s="5" t="inlineStr">
        <is>
          <t>À qualifier</t>
        </is>
      </c>
      <c r="M91" s="6" t="inlineStr"/>
      <c r="N91" s="5" t="inlineStr"/>
      <c r="O91" s="4" t="inlineStr">
        <is>
          <t>https://www.reunion.fr/organisez/vos-activites/le-tour-de-l-ile-de-la-reunion/les-etapes-incontournables/saint-denis/hotels-4-etoiles-saint-denis/ ; https://hotels.ile-delareunion.com/fr/hotels-3-etoiles/</t>
        </is>
      </c>
      <c r="P91" s="4" t="inlineStr"/>
    </row>
    <row r="92">
      <c r="A92" s="4" t="n">
        <v>91</v>
      </c>
      <c r="B92" s="4" t="inlineStr">
        <is>
          <t>Radisson Hôtel Saint-Denis</t>
        </is>
      </c>
      <c r="C92" s="4" t="inlineStr">
        <is>
          <t>Hôtellerie</t>
        </is>
      </c>
      <c r="D92" s="4" t="n">
        <v>3</v>
      </c>
      <c r="E92" s="4" t="inlineStr">
        <is>
          <t>Saint-Denis</t>
        </is>
      </c>
      <c r="F92" s="4" t="inlineStr"/>
      <c r="G92" s="4" t="inlineStr"/>
      <c r="H92" s="4" t="inlineStr"/>
      <c r="I92" s="4" t="inlineStr"/>
      <c r="J92" s="4" t="inlineStr">
        <is>
          <t>AKTO</t>
        </is>
      </c>
      <c r="K92" s="4" t="inlineStr">
        <is>
          <t>Réponses aux avis, emails multilingues, fiches séjour : l'IA pour vos équipes de réception (OPCO AKTO).</t>
        </is>
      </c>
      <c r="L92" s="5" t="inlineStr">
        <is>
          <t>À qualifier</t>
        </is>
      </c>
      <c r="M92" s="6" t="inlineStr"/>
      <c r="N92" s="5" t="inlineStr"/>
      <c r="O92" s="4" t="inlineStr">
        <is>
          <t>https://www.reunion.fr/organisez/vos-activites/le-tour-de-l-ile-de-la-reunion/les-etapes-incontournables/saint-denis/hotels-4-etoiles-saint-denis/ ; https://hotels.ile-delareunion.com/fr/hotels-3-etoiles/</t>
        </is>
      </c>
      <c r="P92" s="4" t="inlineStr"/>
    </row>
    <row r="93">
      <c r="A93" s="4" t="n">
        <v>92</v>
      </c>
      <c r="B93" s="4" t="inlineStr">
        <is>
          <t>Relais de l'Hermitage</t>
        </is>
      </c>
      <c r="C93" s="4" t="inlineStr">
        <is>
          <t>Hôtellerie</t>
        </is>
      </c>
      <c r="D93" s="4" t="n">
        <v>3</v>
      </c>
      <c r="E93" s="4" t="inlineStr">
        <is>
          <t>Saint-Paul</t>
        </is>
      </c>
      <c r="F93" s="4" t="inlineStr">
        <is>
          <t>Saint-Gilles-les-Bains</t>
        </is>
      </c>
      <c r="G93" s="4" t="inlineStr"/>
      <c r="H93" s="4" t="inlineStr"/>
      <c r="I93" s="4" t="inlineStr">
        <is>
          <t>https://www.relais-hermitage-saintgilles.fr/en/</t>
        </is>
      </c>
      <c r="J93" s="4" t="inlineStr">
        <is>
          <t>AKTO</t>
        </is>
      </c>
      <c r="K93" s="4" t="inlineStr">
        <is>
          <t>Réponses aux avis, emails multilingues, fiches séjour : l'IA pour vos équipes de réception (OPCO AKTO).</t>
        </is>
      </c>
      <c r="L93" s="5" t="inlineStr">
        <is>
          <t>À qualifier</t>
        </is>
      </c>
      <c r="M93" s="6" t="inlineStr"/>
      <c r="N93" s="5" t="inlineStr"/>
      <c r="O93" s="4" t="inlineStr">
        <is>
          <t>https://www.reunion.fr/organisez/vos-activites/le-tour-de-l-ile-de-la-reunion/les-etapes-incontournables/saint-denis/hotels-4-etoiles-saint-denis/ ; https://hotels.ile-delareunion.com/fr/hotels-3-etoiles/</t>
        </is>
      </c>
      <c r="P93" s="4" t="inlineStr"/>
    </row>
    <row r="94">
      <c r="A94" s="4" t="n">
        <v>93</v>
      </c>
      <c r="B94" s="4" t="inlineStr">
        <is>
          <t>Tama Hôtel</t>
        </is>
      </c>
      <c r="C94" s="4" t="inlineStr">
        <is>
          <t>Hôtellerie</t>
        </is>
      </c>
      <c r="D94" s="4" t="n">
        <v>3</v>
      </c>
      <c r="E94" s="4" t="inlineStr">
        <is>
          <t>Saint-Paul</t>
        </is>
      </c>
      <c r="F94" s="4" t="inlineStr">
        <is>
          <t>Saint-Gilles-les-Bains</t>
        </is>
      </c>
      <c r="G94" s="4" t="inlineStr"/>
      <c r="H94" s="4" t="inlineStr"/>
      <c r="I94" s="4" t="inlineStr"/>
      <c r="J94" s="4" t="inlineStr">
        <is>
          <t>AKTO</t>
        </is>
      </c>
      <c r="K94" s="4" t="inlineStr">
        <is>
          <t>Réponses aux avis, emails multilingues, fiches séjour : l'IA pour vos équipes de réception (OPCO AKTO).</t>
        </is>
      </c>
      <c r="L94" s="5" t="inlineStr">
        <is>
          <t>À qualifier</t>
        </is>
      </c>
      <c r="M94" s="6" t="inlineStr"/>
      <c r="N94" s="5" t="inlineStr"/>
      <c r="O94" s="4" t="inlineStr">
        <is>
          <t>https://www.reunion.fr/organisez/vos-activites/le-tour-de-l-ile-de-la-reunion/les-etapes-incontournables/saint-denis/hotels-4-etoiles-saint-denis/ ; https://hotels.ile-delareunion.com/fr/hotels-3-etoiles/</t>
        </is>
      </c>
      <c r="P94" s="4" t="inlineStr"/>
    </row>
    <row r="95">
      <c r="A95" s="4" t="n">
        <v>94</v>
      </c>
      <c r="B95" s="4" t="inlineStr">
        <is>
          <t>Tropic Appart Hôtel</t>
        </is>
      </c>
      <c r="C95" s="4" t="inlineStr">
        <is>
          <t>Hôtellerie</t>
        </is>
      </c>
      <c r="D95" s="4" t="n">
        <v>3</v>
      </c>
      <c r="E95" s="4" t="inlineStr">
        <is>
          <t>Saint-Paul</t>
        </is>
      </c>
      <c r="F95" s="4" t="inlineStr">
        <is>
          <t>Saint-Gilles-les-Bains</t>
        </is>
      </c>
      <c r="G95" s="4" t="inlineStr"/>
      <c r="H95" s="4" t="inlineStr"/>
      <c r="I95" s="4" t="inlineStr"/>
      <c r="J95" s="4" t="inlineStr">
        <is>
          <t>AKTO</t>
        </is>
      </c>
      <c r="K95" s="4" t="inlineStr">
        <is>
          <t>Réponses aux avis, emails multilingues, fiches séjour : l'IA pour vos équipes de réception (OPCO AKTO).</t>
        </is>
      </c>
      <c r="L95" s="5" t="inlineStr">
        <is>
          <t>À qualifier</t>
        </is>
      </c>
      <c r="M95" s="6" t="inlineStr"/>
      <c r="N95" s="5" t="inlineStr"/>
      <c r="O95" s="4" t="inlineStr">
        <is>
          <t>https://www.reunion.fr/organisez/vos-activites/le-tour-de-l-ile-de-la-reunion/les-etapes-incontournables/saint-denis/hotels-4-etoiles-saint-denis/ ; https://hotels.ile-delareunion.com/fr/hotels-3-etoiles/</t>
        </is>
      </c>
      <c r="P95" s="4" t="inlineStr"/>
    </row>
    <row r="96">
      <c r="A96" s="4" t="n">
        <v>95</v>
      </c>
      <c r="B96" s="4" t="inlineStr">
        <is>
          <t>Brasserie Dalons</t>
        </is>
      </c>
      <c r="C96" s="4" t="inlineStr">
        <is>
          <t>Agroalimentaire</t>
        </is>
      </c>
      <c r="D96" s="4" t="n">
        <v>4</v>
      </c>
      <c r="E96" s="4" t="inlineStr"/>
      <c r="F96" s="4" t="inlineStr"/>
      <c r="G96" s="4" t="inlineStr"/>
      <c r="H96" s="4" t="inlineStr"/>
      <c r="I96" s="4" t="inlineStr"/>
      <c r="J96" s="4" t="inlineStr">
        <is>
          <t>OCAPIAT</t>
        </is>
      </c>
      <c r="K96" s="4" t="inlineStr">
        <is>
          <t>Qualité, traçabilité, documents réglementaires : l'IA pour les fonctions support (OPCO OCAPIAT).</t>
        </is>
      </c>
      <c r="L96" s="5" t="inlineStr">
        <is>
          <t>À qualifier</t>
        </is>
      </c>
      <c r="M96" s="6" t="inlineStr"/>
      <c r="N96" s="5" t="inlineStr"/>
      <c r="O96" s="4" t="inlineStr">
        <is>
          <t>https://fr.wikipedia.org/wiki/Association_pour_le_d%C3%A9veloppement_industriel_de_La_R%C3%A9union ; https://adir.re/</t>
        </is>
      </c>
      <c r="P96" s="4" t="inlineStr"/>
    </row>
    <row r="97">
      <c r="A97" s="4" t="n">
        <v>96</v>
      </c>
      <c r="B97" s="4" t="inlineStr">
        <is>
          <t>Distillerie Chatel</t>
        </is>
      </c>
      <c r="C97" s="4" t="inlineStr">
        <is>
          <t>Agroalimentaire</t>
        </is>
      </c>
      <c r="D97" s="4" t="n">
        <v>4</v>
      </c>
      <c r="E97" s="4" t="inlineStr"/>
      <c r="F97" s="4" t="inlineStr"/>
      <c r="G97" s="4" t="inlineStr"/>
      <c r="H97" s="4" t="inlineStr"/>
      <c r="I97" s="4" t="inlineStr"/>
      <c r="J97" s="4" t="inlineStr">
        <is>
          <t>OCAPIAT</t>
        </is>
      </c>
      <c r="K97" s="4" t="inlineStr">
        <is>
          <t>Qualité, traçabilité, documents réglementaires : l'IA pour les fonctions support (OPCO OCAPIAT).</t>
        </is>
      </c>
      <c r="L97" s="5" t="inlineStr">
        <is>
          <t>À qualifier</t>
        </is>
      </c>
      <c r="M97" s="6" t="inlineStr"/>
      <c r="N97" s="5" t="inlineStr"/>
      <c r="O97" s="4" t="inlineStr">
        <is>
          <t>https://fr.wikipedia.org/wiki/Association_pour_le_d%C3%A9veloppement_industriel_de_La_R%C3%A9union ; https://adir.re/</t>
        </is>
      </c>
      <c r="P97" s="4" t="inlineStr"/>
    </row>
    <row r="98">
      <c r="A98" s="4" t="n">
        <v>97</v>
      </c>
      <c r="B98" s="4" t="inlineStr">
        <is>
          <t>Distillerie Rivière du Mât</t>
        </is>
      </c>
      <c r="C98" s="4" t="inlineStr">
        <is>
          <t>Agroalimentaire</t>
        </is>
      </c>
      <c r="D98" s="4" t="n">
        <v>4</v>
      </c>
      <c r="E98" s="4" t="inlineStr"/>
      <c r="F98" s="4" t="inlineStr"/>
      <c r="G98" s="4" t="inlineStr"/>
      <c r="H98" s="4" t="inlineStr"/>
      <c r="I98" s="4" t="inlineStr"/>
      <c r="J98" s="4" t="inlineStr">
        <is>
          <t>OCAPIAT</t>
        </is>
      </c>
      <c r="K98" s="4" t="inlineStr">
        <is>
          <t>Qualité, traçabilité, documents réglementaires : l'IA pour les fonctions support (OPCO OCAPIAT).</t>
        </is>
      </c>
      <c r="L98" s="5" t="inlineStr">
        <is>
          <t>À qualifier</t>
        </is>
      </c>
      <c r="M98" s="6" t="inlineStr"/>
      <c r="N98" s="5" t="inlineStr"/>
      <c r="O98" s="4" t="inlineStr">
        <is>
          <t>https://fr.wikipedia.org/wiki/Association_pour_le_d%C3%A9veloppement_industriel_de_La_R%C3%A9union ; https://adir.re/</t>
        </is>
      </c>
      <c r="P98" s="4" t="inlineStr"/>
    </row>
    <row r="99">
      <c r="A99" s="4" t="n">
        <v>98</v>
      </c>
      <c r="B99" s="4" t="inlineStr">
        <is>
          <t>Groupe Cilam</t>
        </is>
      </c>
      <c r="C99" s="4" t="inlineStr">
        <is>
          <t>Agroalimentaire</t>
        </is>
      </c>
      <c r="D99" s="4" t="n">
        <v>4</v>
      </c>
      <c r="E99" s="4" t="inlineStr"/>
      <c r="F99" s="4" t="inlineStr"/>
      <c r="G99" s="4" t="inlineStr"/>
      <c r="H99" s="4" t="inlineStr"/>
      <c r="I99" s="4" t="inlineStr"/>
      <c r="J99" s="4" t="inlineStr">
        <is>
          <t>OCAPIAT</t>
        </is>
      </c>
      <c r="K99" s="4" t="inlineStr">
        <is>
          <t>Qualité, traçabilité, documents réglementaires : l'IA pour les fonctions support (OPCO OCAPIAT).</t>
        </is>
      </c>
      <c r="L99" s="5" t="inlineStr">
        <is>
          <t>À qualifier</t>
        </is>
      </c>
      <c r="M99" s="6" t="inlineStr"/>
      <c r="N99" s="5" t="inlineStr"/>
      <c r="O99" s="4" t="inlineStr">
        <is>
          <t>https://fr.wikipedia.org/wiki/Association_pour_le_d%C3%A9veloppement_industriel_de_La_R%C3%A9union ; https://adir.re/</t>
        </is>
      </c>
      <c r="P99" s="4" t="inlineStr"/>
    </row>
    <row r="100">
      <c r="A100" s="4" t="n">
        <v>99</v>
      </c>
      <c r="B100" s="4" t="inlineStr">
        <is>
          <t>Mascarin</t>
        </is>
      </c>
      <c r="C100" s="4" t="inlineStr">
        <is>
          <t>Agroalimentaire</t>
        </is>
      </c>
      <c r="D100" s="4" t="n">
        <v>4</v>
      </c>
      <c r="E100" s="4" t="inlineStr"/>
      <c r="F100" s="4" t="inlineStr"/>
      <c r="G100" s="4" t="inlineStr"/>
      <c r="H100" s="4" t="inlineStr"/>
      <c r="I100" s="4" t="inlineStr"/>
      <c r="J100" s="4" t="inlineStr">
        <is>
          <t>OCAPIAT</t>
        </is>
      </c>
      <c r="K100" s="4" t="inlineStr">
        <is>
          <t>Qualité, traçabilité, documents réglementaires : l'IA pour les fonctions support (OPCO OCAPIAT).</t>
        </is>
      </c>
      <c r="L100" s="5" t="inlineStr">
        <is>
          <t>À qualifier</t>
        </is>
      </c>
      <c r="M100" s="6" t="inlineStr"/>
      <c r="N100" s="5" t="inlineStr"/>
      <c r="O100" s="4" t="inlineStr">
        <is>
          <t>https://fr.wikipedia.org/wiki/Association_pour_le_d%C3%A9veloppement_industriel_de_La_R%C3%A9union ; https://adir.re/</t>
        </is>
      </c>
      <c r="P100" s="4" t="inlineStr"/>
    </row>
    <row r="101">
      <c r="A101" s="4" t="n">
        <v>100</v>
      </c>
      <c r="B101" s="4" t="inlineStr">
        <is>
          <t>Ovocoop</t>
        </is>
      </c>
      <c r="C101" s="4" t="inlineStr">
        <is>
          <t>Agroalimentaire</t>
        </is>
      </c>
      <c r="D101" s="4" t="n">
        <v>4</v>
      </c>
      <c r="E101" s="4" t="inlineStr"/>
      <c r="F101" s="4" t="inlineStr"/>
      <c r="G101" s="4" t="inlineStr"/>
      <c r="H101" s="4" t="inlineStr"/>
      <c r="I101" s="4" t="inlineStr"/>
      <c r="J101" s="4" t="inlineStr">
        <is>
          <t>OCAPIAT</t>
        </is>
      </c>
      <c r="K101" s="4" t="inlineStr">
        <is>
          <t>Qualité, traçabilité, documents réglementaires : l'IA pour les fonctions support (OPCO OCAPIAT).</t>
        </is>
      </c>
      <c r="L101" s="5" t="inlineStr">
        <is>
          <t>À qualifier</t>
        </is>
      </c>
      <c r="M101" s="6" t="inlineStr"/>
      <c r="N101" s="5" t="inlineStr"/>
      <c r="O101" s="4" t="inlineStr">
        <is>
          <t>https://fr.wikipedia.org/wiki/Association_pour_le_d%C3%A9veloppement_industriel_de_La_R%C3%A9union ; https://adir.re/</t>
        </is>
      </c>
      <c r="P101" s="4" t="inlineStr"/>
    </row>
    <row r="102">
      <c r="A102" s="4" t="n">
        <v>101</v>
      </c>
      <c r="B102" s="4" t="inlineStr">
        <is>
          <t>Rhum Isautier / Ets Isautier</t>
        </is>
      </c>
      <c r="C102" s="4" t="inlineStr">
        <is>
          <t>Agroalimentaire</t>
        </is>
      </c>
      <c r="D102" s="4" t="n">
        <v>4</v>
      </c>
      <c r="E102" s="4" t="inlineStr"/>
      <c r="F102" s="4" t="inlineStr"/>
      <c r="G102" s="4" t="inlineStr"/>
      <c r="H102" s="4" t="inlineStr"/>
      <c r="I102" s="4" t="inlineStr"/>
      <c r="J102" s="4" t="inlineStr">
        <is>
          <t>OCAPIAT</t>
        </is>
      </c>
      <c r="K102" s="4" t="inlineStr">
        <is>
          <t>Qualité, traçabilité, documents réglementaires : l'IA pour les fonctions support (OPCO OCAPIAT).</t>
        </is>
      </c>
      <c r="L102" s="5" t="inlineStr">
        <is>
          <t>À qualifier</t>
        </is>
      </c>
      <c r="M102" s="6" t="inlineStr"/>
      <c r="N102" s="5" t="inlineStr"/>
      <c r="O102" s="4" t="inlineStr">
        <is>
          <t>https://fr.wikipedia.org/wiki/Association_pour_le_d%C3%A9veloppement_industriel_de_La_R%C3%A9union ; https://adir.re/</t>
        </is>
      </c>
      <c r="P102" s="4" t="inlineStr"/>
    </row>
    <row r="103">
      <c r="A103" s="4" t="n">
        <v>102</v>
      </c>
      <c r="B103" s="4" t="inlineStr">
        <is>
          <t>ABC Pro Bati</t>
        </is>
      </c>
      <c r="C103" s="4" t="inlineStr">
        <is>
          <t>BTP</t>
        </is>
      </c>
      <c r="D103" s="4" t="n">
        <v>4</v>
      </c>
      <c r="E103" s="4" t="inlineStr">
        <is>
          <t>Le Port</t>
        </is>
      </c>
      <c r="F103" s="4" t="inlineStr">
        <is>
          <t>3 allée Zélindor</t>
        </is>
      </c>
      <c r="G103" s="4" t="inlineStr"/>
      <c r="H103" s="4" t="inlineStr"/>
      <c r="I103" s="4" t="inlineStr"/>
      <c r="J103" s="4" t="inlineStr">
        <is>
          <t>Constructys</t>
        </is>
      </c>
      <c r="K103" s="4" t="inlineStr">
        <is>
          <t>Devis, mémoires techniques d'appels d'offres, comptes rendus de chantier : l'IA pour les conducteurs de travaux (OPCO Constructys).</t>
        </is>
      </c>
      <c r="L103" s="5" t="inlineStr">
        <is>
          <t>À qualifier</t>
        </is>
      </c>
      <c r="M103" s="6" t="inlineStr"/>
      <c r="N103" s="5" t="inlineStr"/>
      <c r="O103" s="4" t="inlineStr">
        <is>
          <t>https://www.pappers.fr/recherche/ville/st-denis-4/construction-btp/6 ; https://fr.kompass.com/a/entreprises-de-batiment/71100/r/la-reunion/fr_04/</t>
        </is>
      </c>
      <c r="P103" s="4" t="inlineStr"/>
    </row>
    <row r="104">
      <c r="A104" s="4" t="n">
        <v>103</v>
      </c>
      <c r="B104" s="4" t="inlineStr">
        <is>
          <t>BBOI</t>
        </is>
      </c>
      <c r="C104" s="4" t="inlineStr">
        <is>
          <t>BTP</t>
        </is>
      </c>
      <c r="D104" s="4" t="n">
        <v>4</v>
      </c>
      <c r="E104" s="4" t="inlineStr">
        <is>
          <t>Le Port</t>
        </is>
      </c>
      <c r="F104" s="4" t="inlineStr"/>
      <c r="G104" s="4" t="inlineStr"/>
      <c r="H104" s="4" t="inlineStr"/>
      <c r="I104" s="4" t="inlineStr"/>
      <c r="J104" s="4" t="inlineStr">
        <is>
          <t>Constructys</t>
        </is>
      </c>
      <c r="K104" s="4" t="inlineStr">
        <is>
          <t>Devis, mémoires techniques d'appels d'offres, comptes rendus de chantier : l'IA pour les conducteurs de travaux (OPCO Constructys).</t>
        </is>
      </c>
      <c r="L104" s="5" t="inlineStr">
        <is>
          <t>À qualifier</t>
        </is>
      </c>
      <c r="M104" s="6" t="inlineStr"/>
      <c r="N104" s="5" t="inlineStr"/>
      <c r="O104" s="4" t="inlineStr">
        <is>
          <t>https://www.pappers.fr/recherche/ville/st-denis-4/construction-btp/6 ; https://fr.kompass.com/a/entreprises-de-batiment/71100/r/la-reunion/fr_04/</t>
        </is>
      </c>
      <c r="P104" s="4" t="inlineStr"/>
    </row>
    <row r="105">
      <c r="A105" s="4" t="n">
        <v>104</v>
      </c>
      <c r="B105" s="4" t="inlineStr">
        <is>
          <t>Luciano Construction</t>
        </is>
      </c>
      <c r="C105" s="4" t="inlineStr">
        <is>
          <t>BTP</t>
        </is>
      </c>
      <c r="D105" s="4" t="n">
        <v>4</v>
      </c>
      <c r="E105" s="4" t="inlineStr">
        <is>
          <t>Saint-Pierre</t>
        </is>
      </c>
      <c r="F105" s="4" t="inlineStr">
        <is>
          <t>6 ruelle Manciet</t>
        </is>
      </c>
      <c r="G105" s="4" t="inlineStr"/>
      <c r="H105" s="4" t="inlineStr"/>
      <c r="I105" s="4" t="inlineStr"/>
      <c r="J105" s="4" t="inlineStr">
        <is>
          <t>Constructys</t>
        </is>
      </c>
      <c r="K105" s="4" t="inlineStr">
        <is>
          <t>Devis, mémoires techniques d'appels d'offres, comptes rendus de chantier : l'IA pour les conducteurs de travaux (OPCO Constructys).</t>
        </is>
      </c>
      <c r="L105" s="5" t="inlineStr">
        <is>
          <t>À qualifier</t>
        </is>
      </c>
      <c r="M105" s="6" t="inlineStr"/>
      <c r="N105" s="5" t="inlineStr"/>
      <c r="O105" s="4" t="inlineStr">
        <is>
          <t>https://www.pappers.fr/recherche/ville/st-denis-4/construction-btp/6 ; https://fr.kompass.com/a/entreprises-de-batiment/71100/r/la-reunion/fr_04/</t>
        </is>
      </c>
      <c r="P105" s="4" t="inlineStr"/>
    </row>
    <row r="106">
      <c r="A106" s="4" t="n">
        <v>105</v>
      </c>
      <c r="B106" s="4" t="inlineStr">
        <is>
          <t>SMBTP – Société Maçonnerie BTP</t>
        </is>
      </c>
      <c r="C106" s="4" t="inlineStr">
        <is>
          <t>BTP</t>
        </is>
      </c>
      <c r="D106" s="4" t="n">
        <v>4</v>
      </c>
      <c r="E106" s="4" t="inlineStr">
        <is>
          <t>Saint-Pierre</t>
        </is>
      </c>
      <c r="F106" s="4" t="inlineStr">
        <is>
          <t>13 impasse Sinaman</t>
        </is>
      </c>
      <c r="G106" s="4" t="inlineStr"/>
      <c r="H106" s="4" t="inlineStr"/>
      <c r="I106" s="4" t="inlineStr"/>
      <c r="J106" s="4" t="inlineStr">
        <is>
          <t>Constructys</t>
        </is>
      </c>
      <c r="K106" s="4" t="inlineStr">
        <is>
          <t>Devis, mémoires techniques d'appels d'offres, comptes rendus de chantier : l'IA pour les conducteurs de travaux (OPCO Constructys).</t>
        </is>
      </c>
      <c r="L106" s="5" t="inlineStr">
        <is>
          <t>À qualifier</t>
        </is>
      </c>
      <c r="M106" s="6" t="inlineStr"/>
      <c r="N106" s="5" t="inlineStr"/>
      <c r="O106" s="4" t="inlineStr">
        <is>
          <t>https://www.pappers.fr/recherche/ville/st-denis-4/construction-btp/6 ; https://fr.kompass.com/a/entreprises-de-batiment/71100/r/la-reunion/fr_04/</t>
        </is>
      </c>
      <c r="P106" s="4" t="inlineStr"/>
    </row>
    <row r="107">
      <c r="A107" s="4" t="n">
        <v>106</v>
      </c>
      <c r="B107" s="4" t="inlineStr">
        <is>
          <t>Tile Rénovation</t>
        </is>
      </c>
      <c r="C107" s="4" t="inlineStr">
        <is>
          <t>BTP</t>
        </is>
      </c>
      <c r="D107" s="4" t="n">
        <v>4</v>
      </c>
      <c r="E107" s="4" t="inlineStr">
        <is>
          <t>Saint-Denis</t>
        </is>
      </c>
      <c r="F107" s="4" t="inlineStr">
        <is>
          <t>63 rue Félix Guyon</t>
        </is>
      </c>
      <c r="G107" s="4" t="inlineStr"/>
      <c r="H107" s="4" t="inlineStr"/>
      <c r="I107" s="4" t="inlineStr"/>
      <c r="J107" s="4" t="inlineStr">
        <is>
          <t>Constructys</t>
        </is>
      </c>
      <c r="K107" s="4" t="inlineStr">
        <is>
          <t>Devis, mémoires techniques d'appels d'offres, comptes rendus de chantier : l'IA pour les conducteurs de travaux (OPCO Constructys).</t>
        </is>
      </c>
      <c r="L107" s="5" t="inlineStr">
        <is>
          <t>À qualifier</t>
        </is>
      </c>
      <c r="M107" s="6" t="inlineStr"/>
      <c r="N107" s="5" t="inlineStr"/>
      <c r="O107" s="4" t="inlineStr">
        <is>
          <t>https://www.pappers.fr/recherche/ville/st-denis-4/construction-btp/6 ; https://fr.kompass.com/a/entreprises-de-batiment/71100/r/la-reunion/fr_04/</t>
        </is>
      </c>
      <c r="P107" s="4" t="inlineStr"/>
    </row>
  </sheetData>
  <autoFilter ref="A1:P107"/>
  <dataValidations count="1">
    <dataValidation sqref="L2:L107" showDropDown="0" showInputMessage="0" showErrorMessage="0" allowBlank="1" type="list">
      <formula1>"À qualifier,À contacter,Contacté,RDV,Proposition,Client,Opposition RGPD,Perdu"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40" customWidth="1" min="3" max="3"/>
    <col width="55" customWidth="1" min="4" max="4"/>
    <col width="16" customWidth="1" min="5" max="5"/>
    <col width="60" customWidth="1" min="6" max="6"/>
  </cols>
  <sheetData>
    <row r="1" ht="32" customHeight="1">
      <c r="A1" s="3" t="inlineStr">
        <is>
          <t>Groupe</t>
        </is>
      </c>
      <c r="B1" s="3" t="inlineStr">
        <is>
          <t>Secteur</t>
        </is>
      </c>
      <c r="C1" s="3" t="inlineStr">
        <is>
          <t>Repère</t>
        </is>
      </c>
      <c r="D1" s="3" t="inlineStr">
        <is>
          <t>Approche conseillée</t>
        </is>
      </c>
      <c r="E1" s="3" t="inlineStr">
        <is>
          <t>Statut</t>
        </is>
      </c>
      <c r="F1" s="3" t="inlineStr">
        <is>
          <t>Source</t>
        </is>
      </c>
    </row>
    <row r="2">
      <c r="A2" s="4" t="inlineStr">
        <is>
          <t>Groupe Bernard Hayot (GBH)</t>
        </is>
      </c>
      <c r="B2" s="4" t="inlineStr">
        <is>
          <t>Distribution, automobile, industrie</t>
        </is>
      </c>
      <c r="C2" s="4" t="inlineStr">
        <is>
          <t>1er groupe privé de l'île (≈ 7 100 salariés, ≈ 1,9 Md€ de CA selon le classement)</t>
        </is>
      </c>
      <c r="D2" s="4" t="inlineStr">
        <is>
          <t>Contacter la DRH / le responsable formation ; souvent achat par consultation : proposer un pilote d'une journée « Pack Article 4 » pour un service.</t>
        </is>
      </c>
      <c r="E2" s="5" t="inlineStr">
        <is>
          <t>À qualifier</t>
        </is>
      </c>
      <c r="F2" s="4" t="inlineStr">
        <is>
          <t>https://www.marketing-management.io/blog/top-40-entreprises-a-la-reunion</t>
        </is>
      </c>
    </row>
    <row r="3">
      <c r="A3" s="4" t="inlineStr">
        <is>
          <t>Vindémia</t>
        </is>
      </c>
      <c r="B3" s="4" t="inlineStr">
        <is>
          <t>Grande distribution</t>
        </is>
      </c>
      <c r="C3" s="4" t="inlineStr">
        <is>
          <t>Top 10</t>
        </is>
      </c>
      <c r="D3" s="4" t="inlineStr">
        <is>
          <t>Contacter la DRH / le responsable formation ; souvent achat par consultation : proposer un pilote d'une journée « Pack Article 4 » pour un service.</t>
        </is>
      </c>
      <c r="E3" s="5" t="inlineStr">
        <is>
          <t>À qualifier</t>
        </is>
      </c>
      <c r="F3" s="4" t="inlineStr">
        <is>
          <t>https://www.marketing-management.io/blog/top-40-entreprises-a-la-reunion</t>
        </is>
      </c>
    </row>
    <row r="4">
      <c r="A4" s="4" t="inlineStr">
        <is>
          <t>Groupe Caillé</t>
        </is>
      </c>
      <c r="B4" s="4" t="inlineStr">
        <is>
          <t>Automobile, distribution</t>
        </is>
      </c>
      <c r="C4" s="4" t="inlineStr">
        <is>
          <t>Top 10 (≈ 623 M€ de CA)</t>
        </is>
      </c>
      <c r="D4" s="4" t="inlineStr">
        <is>
          <t>Contacter la DRH / le responsable formation ; souvent achat par consultation : proposer un pilote d'une journée « Pack Article 4 » pour un service.</t>
        </is>
      </c>
      <c r="E4" s="5" t="inlineStr">
        <is>
          <t>À qualifier</t>
        </is>
      </c>
      <c r="F4" s="4" t="inlineStr">
        <is>
          <t>https://www.marketing-management.io/blog/top-40-entreprises-a-la-reunion</t>
        </is>
      </c>
    </row>
    <row r="5">
      <c r="A5" s="4" t="inlineStr">
        <is>
          <t>Groupe Excellence</t>
        </is>
      </c>
      <c r="B5" s="4" t="inlineStr">
        <is>
          <t>Automobile</t>
        </is>
      </c>
      <c r="C5" s="4" t="inlineStr">
        <is>
          <t>Top 10</t>
        </is>
      </c>
      <c r="D5" s="4" t="inlineStr">
        <is>
          <t>Contacter la DRH / le responsable formation ; souvent achat par consultation : proposer un pilote d'une journée « Pack Article 4 » pour un service.</t>
        </is>
      </c>
      <c r="E5" s="5" t="inlineStr">
        <is>
          <t>À qualifier</t>
        </is>
      </c>
      <c r="F5" s="4" t="inlineStr">
        <is>
          <t>https://www.marketing-management.io/blog/top-40-entreprises-a-la-reunion</t>
        </is>
      </c>
    </row>
    <row r="6">
      <c r="A6" s="4" t="inlineStr">
        <is>
          <t>Air Austral</t>
        </is>
      </c>
      <c r="B6" s="4" t="inlineStr">
        <is>
          <t>Transport aérien</t>
        </is>
      </c>
      <c r="C6" s="4" t="inlineStr">
        <is>
          <t>Top 10</t>
        </is>
      </c>
      <c r="D6" s="4" t="inlineStr">
        <is>
          <t>Contacter la DRH / le responsable formation ; souvent achat par consultation : proposer un pilote d'une journée « Pack Article 4 » pour un service.</t>
        </is>
      </c>
      <c r="E6" s="5" t="inlineStr">
        <is>
          <t>À qualifier</t>
        </is>
      </c>
      <c r="F6" s="4" t="inlineStr">
        <is>
          <t>https://www.marketing-management.io/blog/top-40-entreprises-a-la-reunion</t>
        </is>
      </c>
    </row>
    <row r="7">
      <c r="A7" s="4" t="inlineStr">
        <is>
          <t>Groupe Ravate</t>
        </is>
      </c>
      <c r="B7" s="4" t="inlineStr">
        <is>
          <t>Distribution</t>
        </is>
      </c>
      <c r="C7" s="4" t="inlineStr">
        <is>
          <t>Top 10</t>
        </is>
      </c>
      <c r="D7" s="4" t="inlineStr">
        <is>
          <t>Contacter la DRH / le responsable formation ; souvent achat par consultation : proposer un pilote d'une journée « Pack Article 4 » pour un service.</t>
        </is>
      </c>
      <c r="E7" s="5" t="inlineStr">
        <is>
          <t>À qualifier</t>
        </is>
      </c>
      <c r="F7" s="4" t="inlineStr">
        <is>
          <t>https://www.marketing-management.io/blog/top-40-entreprises-a-la-reunion</t>
        </is>
      </c>
    </row>
    <row r="8">
      <c r="A8" s="4" t="inlineStr">
        <is>
          <t>Groupe Marbour</t>
        </is>
      </c>
      <c r="B8" s="4" t="inlineStr">
        <is>
          <t>Distribution</t>
        </is>
      </c>
      <c r="C8" s="4" t="inlineStr">
        <is>
          <t>Top 10</t>
        </is>
      </c>
      <c r="D8" s="4" t="inlineStr">
        <is>
          <t>Contacter la DRH / le responsable formation ; souvent achat par consultation : proposer un pilote d'une journée « Pack Article 4 » pour un service.</t>
        </is>
      </c>
      <c r="E8" s="5" t="inlineStr">
        <is>
          <t>À qualifier</t>
        </is>
      </c>
      <c r="F8" s="4" t="inlineStr">
        <is>
          <t>https://www.marketing-management.io/blog/top-40-entreprises-a-la-reunion</t>
        </is>
      </c>
    </row>
    <row r="9">
      <c r="A9" s="4" t="inlineStr">
        <is>
          <t>Groupe Urcoopa</t>
        </is>
      </c>
      <c r="B9" s="4" t="inlineStr">
        <is>
          <t>Agroalimentaire, coopérative</t>
        </is>
      </c>
      <c r="C9" s="4" t="inlineStr">
        <is>
          <t>Top 10</t>
        </is>
      </c>
      <c r="D9" s="4" t="inlineStr">
        <is>
          <t>Contacter la DRH / le responsable formation ; souvent achat par consultation : proposer un pilote d'une journée « Pack Article 4 » pour un service.</t>
        </is>
      </c>
      <c r="E9" s="5" t="inlineStr">
        <is>
          <t>À qualifier</t>
        </is>
      </c>
      <c r="F9" s="4" t="inlineStr">
        <is>
          <t>https://www.marketing-management.io/blog/top-40-entreprises-a-la-reunion</t>
        </is>
      </c>
    </row>
    <row r="10">
      <c r="A10" s="4" t="inlineStr">
        <is>
          <t>Tereos Océan Indien</t>
        </is>
      </c>
      <c r="B10" s="4" t="inlineStr">
        <is>
          <t>Sucre, industrie</t>
        </is>
      </c>
      <c r="C10" s="4" t="inlineStr">
        <is>
          <t>Top 10</t>
        </is>
      </c>
      <c r="D10" s="4" t="inlineStr">
        <is>
          <t>Contacter la DRH / le responsable formation ; souvent achat par consultation : proposer un pilote d'une journée « Pack Article 4 » pour un service.</t>
        </is>
      </c>
      <c r="E10" s="5" t="inlineStr">
        <is>
          <t>À qualifier</t>
        </is>
      </c>
      <c r="F10" s="4" t="inlineStr">
        <is>
          <t>https://www.marketing-management.io/blog/top-40-entreprises-a-la-reunion</t>
        </is>
      </c>
    </row>
    <row r="11">
      <c r="A11" s="4" t="inlineStr">
        <is>
          <t>Groupe Océinde</t>
        </is>
      </c>
      <c r="B11" s="4" t="inlineStr">
        <is>
          <t>Énergie, distribution</t>
        </is>
      </c>
      <c r="C11" s="4" t="inlineStr">
        <is>
          <t>≈ 360 M€ de CA</t>
        </is>
      </c>
      <c r="D11" s="4" t="inlineStr">
        <is>
          <t>Contacter la DRH / le responsable formation ; souvent achat par consultation : proposer un pilote d'une journée « Pack Article 4 » pour un service.</t>
        </is>
      </c>
      <c r="E11" s="5" t="inlineStr">
        <is>
          <t>À qualifier</t>
        </is>
      </c>
      <c r="F11" s="4" t="inlineStr">
        <is>
          <t>https://www.marketing-management.io/blog/top-40-entreprises-a-la-reunion</t>
        </is>
      </c>
    </row>
    <row r="12">
      <c r="A12" s="4" t="inlineStr">
        <is>
          <t>Coopérative U La Réunion</t>
        </is>
      </c>
      <c r="B12" s="4" t="inlineStr">
        <is>
          <t>Grande distribution</t>
        </is>
      </c>
      <c r="C12" s="4" t="inlineStr">
        <is>
          <t>Classement 2025</t>
        </is>
      </c>
      <c r="D12" s="4" t="inlineStr">
        <is>
          <t>Contacter la DRH / le responsable formation ; souvent achat par consultation : proposer un pilote d'une journée « Pack Article 4 » pour un service.</t>
        </is>
      </c>
      <c r="E12" s="5" t="inlineStr">
        <is>
          <t>À qualifier</t>
        </is>
      </c>
      <c r="F12" s="4" t="inlineStr">
        <is>
          <t>https://www.marketing-management.io/blog/top-40-entreprises-a-la-reunion</t>
        </is>
      </c>
    </row>
    <row r="13">
      <c r="A13" s="4" t="inlineStr">
        <is>
          <t>Groupe Quartier Français</t>
        </is>
      </c>
      <c r="B13" s="4" t="inlineStr">
        <is>
          <t>Agroalimentaire</t>
        </is>
      </c>
      <c r="C13" s="4" t="inlineStr">
        <is>
          <t>Cité parmi les groupes structurants</t>
        </is>
      </c>
      <c r="D13" s="4" t="inlineStr">
        <is>
          <t>Contacter la DRH / le responsable formation ; souvent achat par consultation : proposer un pilote d'une journée « Pack Article 4 » pour un service.</t>
        </is>
      </c>
      <c r="E13" s="5" t="inlineStr">
        <is>
          <t>À qualifier</t>
        </is>
      </c>
      <c r="F13" s="4" t="inlineStr">
        <is>
          <t>https://www.marketing-management.io/blog/top-40-entreprises-a-la-reunion</t>
        </is>
      </c>
    </row>
    <row r="14">
      <c r="A14" s="4" t="inlineStr">
        <is>
          <t>ADIR (Association pour le développement industriel)</t>
        </is>
      </c>
      <c r="B14" s="4" t="inlineStr">
        <is>
          <t>Réseau de ≈ 200 industriels</t>
        </is>
      </c>
      <c r="C14" s="4" t="inlineStr">
        <is>
          <t>Prescripteur : intervention lors d'un événement adhérents</t>
        </is>
      </c>
      <c r="D14" s="4" t="inlineStr">
        <is>
          <t>Contacter la DRH / le responsable formation ; souvent achat par consultation : proposer un pilote d'une journée « Pack Article 4 » pour un service.</t>
        </is>
      </c>
      <c r="E14" s="5" t="inlineStr">
        <is>
          <t>À qualifier</t>
        </is>
      </c>
      <c r="F14" s="4" t="inlineStr">
        <is>
          <t>https://adir.re/</t>
        </is>
      </c>
    </row>
  </sheetData>
  <dataValidations count="1">
    <dataValidation sqref="E2:E14" showDropDown="0" showInputMessage="0" showErrorMessage="0" allowBlank="1" type="list">
      <formula1>"À qualifier,À contacter,Contacté,RDV,Proposition,Client,Opposition RGPD,Perdu"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30" customWidth="1" min="4" max="4"/>
    <col width="34" customWidth="1" min="5" max="5"/>
    <col width="15" customWidth="1" min="6" max="6"/>
    <col width="26" customWidth="1" min="7" max="7"/>
    <col width="30" customWidth="1" min="8" max="8"/>
    <col width="50" customWidth="1" min="9" max="9"/>
    <col width="9" customWidth="1" min="10" max="10"/>
    <col width="20" customWidth="1" min="11" max="11"/>
    <col width="14" customWidth="1" min="12" max="12"/>
    <col width="55" customWidth="1" min="13" max="13"/>
  </cols>
  <sheetData>
    <row r="1" ht="32" customHeight="1">
      <c r="A1" s="3" t="inlineStr">
        <is>
          <t>Organisme</t>
        </is>
      </c>
      <c r="B1" s="3" t="inlineStr">
        <is>
          <t>Zone</t>
        </is>
      </c>
      <c r="C1" s="3" t="inlineStr">
        <is>
          <t>Type</t>
        </is>
      </c>
      <c r="D1" s="3" t="inlineStr">
        <is>
          <t>Domaines</t>
        </is>
      </c>
      <c r="E1" s="3" t="inlineStr">
        <is>
          <t>Adresse</t>
        </is>
      </c>
      <c r="F1" s="3" t="inlineStr">
        <is>
          <t>Téléphone</t>
        </is>
      </c>
      <c r="G1" s="3" t="inlineStr">
        <is>
          <t>Email</t>
        </is>
      </c>
      <c r="H1" s="3" t="inlineStr">
        <is>
          <t>Site web</t>
        </is>
      </c>
      <c r="I1" s="3" t="inlineStr">
        <is>
          <t>Pourquoi vous / action</t>
        </is>
      </c>
      <c r="J1" s="3" t="inlineStr">
        <is>
          <t>Priorité</t>
        </is>
      </c>
      <c r="K1" s="3" t="inlineStr">
        <is>
          <t>Statut</t>
        </is>
      </c>
      <c r="L1" s="3" t="inlineStr">
        <is>
          <t>Date candidature</t>
        </is>
      </c>
      <c r="M1" s="3" t="inlineStr">
        <is>
          <t>Source</t>
        </is>
      </c>
    </row>
    <row r="2">
      <c r="A2" s="4" t="inlineStr">
        <is>
          <t>Honoris Educational Network</t>
        </is>
      </c>
      <c r="B2" s="4" t="inlineStr">
        <is>
          <t>Maurice</t>
        </is>
      </c>
      <c r="C2" s="4" t="inlineStr">
        <is>
          <t>Organisme agréé MQA</t>
        </is>
      </c>
      <c r="D2" s="4" t="inlineStr">
        <is>
          <t>Soft skills, Microsoft Office, automatisation, data, marketing digital</t>
        </is>
      </c>
      <c r="E2" s="4" t="inlineStr"/>
      <c r="F2" s="4" t="inlineStr"/>
      <c r="G2" s="4" t="inlineStr"/>
      <c r="H2" s="4" t="inlineStr">
        <is>
          <t>https://honoris.ac.mu/mqa-approved-training-programmes-mauritius/</t>
        </is>
      </c>
      <c r="I2" s="4" t="inlineStr">
        <is>
          <t>Partenariat : formation IA éligible au remboursement HRDC jusqu'à 90 %</t>
        </is>
      </c>
      <c r="J2" s="4" t="inlineStr">
        <is>
          <t>A</t>
        </is>
      </c>
      <c r="K2" s="5" t="inlineStr">
        <is>
          <t>À contacter</t>
        </is>
      </c>
      <c r="L2" s="6" t="inlineStr"/>
      <c r="M2" s="4" t="inlineStr">
        <is>
          <t>https://honoris.ac.mu/mqa-approved-training-programmes-mauritius/</t>
        </is>
      </c>
    </row>
    <row r="3">
      <c r="A3" s="4" t="inlineStr">
        <is>
          <t>SMFP – Société mahoraise de formation professionnelle</t>
        </is>
      </c>
      <c r="B3" s="4" t="inlineStr">
        <is>
          <t>Mayotte – Mamoudzou</t>
        </is>
      </c>
      <c r="C3" s="4" t="inlineStr">
        <is>
          <t>OF 976 (Qualiopi)</t>
        </is>
      </c>
      <c r="D3" s="4" t="inlineStr">
        <is>
          <t>Numérique (CléA), social</t>
        </is>
      </c>
      <c r="E3" s="4" t="inlineStr">
        <is>
          <t>Mamoudzou</t>
        </is>
      </c>
      <c r="F3" s="4" t="inlineStr"/>
      <c r="G3" s="4" t="inlineStr"/>
      <c r="H3" s="4" t="inlineStr">
        <is>
          <t>https://www.smfp-site.fr/</t>
        </is>
      </c>
      <c r="I3" s="4" t="inlineStr">
        <is>
          <t>Numérique + IA à Mayotte (AAP France 2030 Mayotte ouvert jusqu'au 31/12/2026)</t>
        </is>
      </c>
      <c r="J3" s="4" t="inlineStr">
        <is>
          <t>A</t>
        </is>
      </c>
      <c r="K3" s="5" t="inlineStr">
        <is>
          <t>À contacter</t>
        </is>
      </c>
      <c r="L3" s="6" t="inlineStr"/>
      <c r="M3" s="4" t="inlineStr">
        <is>
          <t>https://www.intercariforef.org/formations/societe-mahoraise-de-formation-professionnelle-smfp/organisme-39_216.html</t>
        </is>
      </c>
    </row>
    <row r="4">
      <c r="A4" s="4" t="inlineStr">
        <is>
          <t>Senza Formations</t>
        </is>
      </c>
      <c r="B4" s="4" t="inlineStr">
        <is>
          <t>Métropole → 974</t>
        </is>
      </c>
      <c r="C4" s="4" t="inlineStr">
        <is>
          <t>OF national, sessions à Saint-Denis</t>
        </is>
      </c>
      <c r="D4" s="4" t="inlineStr">
        <is>
          <t>IA générative</t>
        </is>
      </c>
      <c r="E4" s="4" t="inlineStr">
        <is>
          <t>Sessions à Saint-Denis (28/09-28/10 et 30/11-30/12/2026)</t>
        </is>
      </c>
      <c r="F4" s="4" t="inlineStr"/>
      <c r="G4" s="4" t="inlineStr"/>
      <c r="H4" s="4" t="inlineStr">
        <is>
          <t>https://senza-formations.com/ville/saint-denis/formation-initiation-lintelligence-artificielle-ia</t>
        </is>
      </c>
      <c r="I4" s="4" t="inlineStr">
        <is>
          <t>Programme des sessions IA à Saint-Denis : il leur faut un formateur local</t>
        </is>
      </c>
      <c r="J4" s="4" t="inlineStr">
        <is>
          <t>A</t>
        </is>
      </c>
      <c r="K4" s="5" t="inlineStr">
        <is>
          <t>À contacter</t>
        </is>
      </c>
      <c r="L4" s="6" t="inlineStr"/>
      <c r="M4" s="4" t="inlineStr">
        <is>
          <t>https://senza-formations.com/ville/saint-denis/formation-initiation-lintelligence-artificielle-ia</t>
        </is>
      </c>
    </row>
    <row r="5">
      <c r="A5" s="4" t="inlineStr">
        <is>
          <t>VIAgence</t>
        </is>
      </c>
      <c r="B5" s="4" t="inlineStr">
        <is>
          <t>Métropole → 974</t>
        </is>
      </c>
      <c r="C5" s="4" t="inlineStr">
        <is>
          <t>OF qui vend dans le 974</t>
        </is>
      </c>
      <c r="D5" s="4" t="inlineStr">
        <is>
          <t>IA</t>
        </is>
      </c>
      <c r="E5" s="4" t="inlineStr">
        <is>
          <t>32 rue de Paris, 92100 Boulogne-Billancourt</t>
        </is>
      </c>
      <c r="F5" s="4" t="inlineStr">
        <is>
          <t>01 79 35 52 37</t>
        </is>
      </c>
      <c r="G5" s="4" t="inlineStr">
        <is>
          <t>contact@viagence.com</t>
        </is>
      </c>
      <c r="H5" s="4" t="inlineStr"/>
      <c r="I5" s="4" t="inlineStr">
        <is>
          <t>Vend du présentiel à Saint-Denis sans être implanté : proposez-vous comme formateur sur place (modèle d'email dans opportunites.md)</t>
        </is>
      </c>
      <c r="J5" s="4" t="inlineStr">
        <is>
          <t>A</t>
        </is>
      </c>
      <c r="K5" s="5" t="inlineStr">
        <is>
          <t>À contacter</t>
        </is>
      </c>
      <c r="L5" s="6" t="inlineStr"/>
      <c r="M5" s="4" t="inlineStr">
        <is>
          <t>Programme reçu par votre amie</t>
        </is>
      </c>
    </row>
    <row r="6">
      <c r="A6" s="4" t="inlineStr">
        <is>
          <t>A'Venir</t>
        </is>
      </c>
      <c r="B6" s="4" t="inlineStr">
        <is>
          <t>Réunion</t>
        </is>
      </c>
      <c r="C6" s="4" t="inlineStr">
        <is>
          <t>OF 974 (Qualiopi)</t>
        </is>
      </c>
      <c r="D6" s="4" t="inlineStr">
        <is>
          <t>Passerelle IA</t>
        </is>
      </c>
      <c r="E6" s="4" t="inlineStr"/>
      <c r="F6" s="4" t="inlineStr"/>
      <c r="G6" s="4" t="inlineStr"/>
      <c r="H6" s="4" t="inlineStr">
        <is>
          <t>https://a-venir.re/</t>
        </is>
      </c>
      <c r="I6" s="4" t="inlineStr">
        <is>
          <t>Co-animation « Passerelle IA »</t>
        </is>
      </c>
      <c r="J6" s="4" t="inlineStr">
        <is>
          <t>A</t>
        </is>
      </c>
      <c r="K6" s="5" t="inlineStr">
        <is>
          <t>À contacter</t>
        </is>
      </c>
      <c r="L6" s="6" t="inlineStr"/>
      <c r="M6" s="4" t="inlineStr">
        <is>
          <t>https://a-venir.re/</t>
        </is>
      </c>
    </row>
    <row r="7">
      <c r="A7" s="4" t="inlineStr">
        <is>
          <t>CCI Réunion (+ CFA Campus Pro Saint-Pierre)</t>
        </is>
      </c>
      <c r="B7" s="4" t="inlineStr">
        <is>
          <t>Réunion</t>
        </is>
      </c>
      <c r="C7" s="4" t="inlineStr">
        <is>
          <t>Consulaire</t>
        </is>
      </c>
      <c r="D7" s="4" t="inlineStr">
        <is>
          <t>IA et productivité, commerce, vente, gestion</t>
        </is>
      </c>
      <c r="E7" s="4" t="inlineStr">
        <is>
          <t>CFA : 65 rue du Père Lafosse, 97410 Saint-Pierre</t>
        </is>
      </c>
      <c r="F7" s="4" t="inlineStr"/>
      <c r="G7" s="4" t="inlineStr"/>
      <c r="H7" s="4" t="inlineStr">
        <is>
          <t>https://reunion.cci.fr/formation/166206/ia-et-productivite-outils-et-bonnes-pratiques</t>
        </is>
      </c>
      <c r="I7" s="4" t="inlineStr">
        <is>
          <t>Catalogue « IA et productivité » + CFA commerce et vente : être référencé comme intervenant</t>
        </is>
      </c>
      <c r="J7" s="4" t="inlineStr">
        <is>
          <t>A</t>
        </is>
      </c>
      <c r="K7" s="5" t="inlineStr">
        <is>
          <t>À contacter</t>
        </is>
      </c>
      <c r="L7" s="6" t="inlineStr"/>
      <c r="M7" s="4" t="inlineStr">
        <is>
          <t>https://reunion.cci.fr/se-former/ecolescentres-de-formations/liste-des-nos-ecoles-cfa</t>
        </is>
      </c>
    </row>
    <row r="8">
      <c r="A8" s="4" t="inlineStr">
        <is>
          <t>CFA Disciplina</t>
        </is>
      </c>
      <c r="B8" s="4" t="inlineStr">
        <is>
          <t>Réunion</t>
        </is>
      </c>
      <c r="C8" s="4" t="inlineStr">
        <is>
          <t>CFA</t>
        </is>
      </c>
      <c r="D8" s="4" t="inlineStr">
        <is>
          <t>Vente</t>
        </is>
      </c>
      <c r="E8" s="4" t="inlineStr"/>
      <c r="F8" s="4" t="inlineStr"/>
      <c r="G8" s="4" t="inlineStr"/>
      <c r="H8" s="4" t="inlineStr"/>
      <c r="I8" s="4" t="inlineStr">
        <is>
          <t>Cherchait des formateurs vente indépendants</t>
        </is>
      </c>
      <c r="J8" s="4" t="inlineStr">
        <is>
          <t>A</t>
        </is>
      </c>
      <c r="K8" s="5" t="inlineStr">
        <is>
          <t>À contacter</t>
        </is>
      </c>
      <c r="L8" s="6" t="inlineStr"/>
      <c r="M8" s="4" t="inlineStr">
        <is>
          <t>https://candidat.francetravail.fr/offres/emploi/formateur/reunion/s20m22d974</t>
        </is>
      </c>
    </row>
    <row r="9">
      <c r="A9" s="4" t="inlineStr">
        <is>
          <t>IFR – Institut de Formation de la Réunion</t>
        </is>
      </c>
      <c r="B9" s="4" t="inlineStr">
        <is>
          <t>Réunion</t>
        </is>
      </c>
      <c r="C9" s="4" t="inlineStr">
        <is>
          <t>OF 974</t>
        </is>
      </c>
      <c r="D9" s="4" t="inlineStr">
        <is>
          <t>IA pour tous, commerce, informatique, communication digitale</t>
        </is>
      </c>
      <c r="E9" s="4" t="inlineStr"/>
      <c r="F9" s="4" t="inlineStr"/>
      <c r="G9" s="4" t="inlineStr"/>
      <c r="H9" s="4" t="inlineStr">
        <is>
          <t>https://www.ifr-reunion.re/formation-ia-pour-tous/</t>
        </is>
      </c>
      <c r="I9" s="4" t="inlineStr">
        <is>
          <t>Module « IA + RGPD » en complément de « IA pour tous »</t>
        </is>
      </c>
      <c r="J9" s="4" t="inlineStr">
        <is>
          <t>A</t>
        </is>
      </c>
      <c r="K9" s="5" t="inlineStr">
        <is>
          <t>À contacter</t>
        </is>
      </c>
      <c r="L9" s="6" t="inlineStr"/>
      <c r="M9" s="4" t="inlineStr">
        <is>
          <t>https://www.ifr-reunion.re/formation-ia-pour-tous/</t>
        </is>
      </c>
    </row>
    <row r="10">
      <c r="A10" s="4" t="inlineStr">
        <is>
          <t>JD Formations</t>
        </is>
      </c>
      <c r="B10" s="4" t="inlineStr">
        <is>
          <t>Réunion</t>
        </is>
      </c>
      <c r="C10" s="4" t="inlineStr">
        <is>
          <t>OF 974</t>
        </is>
      </c>
      <c r="D10" s="4" t="inlineStr">
        <is>
          <t>IA (ChatGPT), métiers</t>
        </is>
      </c>
      <c r="E10" s="4" t="inlineStr"/>
      <c r="F10" s="4" t="inlineStr"/>
      <c r="G10" s="4" t="inlineStr"/>
      <c r="H10" s="4" t="inlineStr">
        <is>
          <t>https://www.jdformations.re/formation-ia-chatgpt-a-la-reunion-974/</t>
        </is>
      </c>
      <c r="I10" s="4" t="inlineStr">
        <is>
          <t>Formation IA par métier : proposez co-animation et module conformité</t>
        </is>
      </c>
      <c r="J10" s="4" t="inlineStr">
        <is>
          <t>A</t>
        </is>
      </c>
      <c r="K10" s="5" t="inlineStr">
        <is>
          <t>À contacter</t>
        </is>
      </c>
      <c r="L10" s="6" t="inlineStr"/>
      <c r="M10" s="4" t="inlineStr">
        <is>
          <t>https://www.jdformations.re/formation-ia-chatgpt-a-la-reunion-974/</t>
        </is>
      </c>
    </row>
    <row r="11">
      <c r="A11" s="4" t="inlineStr">
        <is>
          <t>Numeria</t>
        </is>
      </c>
      <c r="B11" s="4" t="inlineStr">
        <is>
          <t>Réunion</t>
        </is>
      </c>
      <c r="C11" s="4" t="inlineStr">
        <is>
          <t>OF 974</t>
        </is>
      </c>
      <c r="D11" s="4" t="inlineStr">
        <is>
          <t>IA, numérique</t>
        </is>
      </c>
      <c r="E11" s="4" t="inlineStr"/>
      <c r="F11" s="4" t="inlineStr"/>
      <c r="G11" s="4" t="inlineStr"/>
      <c r="H11" s="4" t="inlineStr">
        <is>
          <t>https://www.numeria-formation.re/formations-intelligence-artificielle/</t>
        </is>
      </c>
      <c r="I11" s="4" t="inlineStr">
        <is>
          <t>Organise des formations IA : proposez le volet RGPD / IA Act et du renfort de formateurs</t>
        </is>
      </c>
      <c r="J11" s="4" t="inlineStr">
        <is>
          <t>A</t>
        </is>
      </c>
      <c r="K11" s="5" t="inlineStr">
        <is>
          <t>À contacter</t>
        </is>
      </c>
      <c r="L11" s="6" t="inlineStr"/>
      <c r="M11" s="4" t="inlineStr">
        <is>
          <t>https://www.numeria-formation.re/formations-intelligence-artificielle/</t>
        </is>
      </c>
    </row>
    <row r="12">
      <c r="A12" s="4" t="inlineStr">
        <is>
          <t>Réunion Prospectives Compétences (Carif-Oref)</t>
        </is>
      </c>
      <c r="B12" s="4" t="inlineStr">
        <is>
          <t>Réunion</t>
        </is>
      </c>
      <c r="C12" s="4" t="inlineStr">
        <is>
          <t>Prescripteur public</t>
        </is>
      </c>
      <c r="D12" s="4" t="inlineStr">
        <is>
          <t>Information sur la formation (formanoo.org)</t>
        </is>
      </c>
      <c r="E12" s="4" t="inlineStr"/>
      <c r="F12" s="4" t="inlineStr">
        <is>
          <t>02 62 83 00 40</t>
        </is>
      </c>
      <c r="G12" s="4" t="inlineStr">
        <is>
          <t>contact@rpc.re</t>
        </is>
      </c>
      <c r="H12" s="4" t="inlineStr">
        <is>
          <t>https://www.rpc.re</t>
        </is>
      </c>
      <c r="I12" s="4" t="inlineStr">
        <is>
          <t>Faites référencer vos formations sur formanoo.org : visibilité auprès des prescripteurs</t>
        </is>
      </c>
      <c r="J12" s="4" t="inlineStr">
        <is>
          <t>A</t>
        </is>
      </c>
      <c r="K12" s="5" t="inlineStr">
        <is>
          <t>À contacter</t>
        </is>
      </c>
      <c r="L12" s="6" t="inlineStr"/>
      <c r="M12" s="4" t="inlineStr">
        <is>
          <t>https://centre-inffo.fr/content/uploads/2024/06/depliant-reseaux-062024.pdf</t>
        </is>
      </c>
    </row>
    <row r="13">
      <c r="A13" s="4" t="inlineStr">
        <is>
          <t>Sarl Laboratoire L &amp; M</t>
        </is>
      </c>
      <c r="B13" s="4" t="inlineStr">
        <is>
          <t>Réunion</t>
        </is>
      </c>
      <c r="C13" s="4" t="inlineStr">
        <is>
          <t>OF 974</t>
        </is>
      </c>
      <c r="D13" s="4" t="inlineStr">
        <is>
          <t>Management, comptabilité, numérique / cybersécurité, bureautique, vente (+ pâtisserie, HACCP)</t>
        </is>
      </c>
      <c r="E13" s="4" t="inlineStr"/>
      <c r="F13" s="4" t="inlineStr"/>
      <c r="G13" s="4" t="inlineStr"/>
      <c r="H13" s="4" t="inlineStr"/>
      <c r="I13" s="4" t="inlineStr">
        <is>
          <t>A publié des offres de formateurs en management, numérique et techniques de vente</t>
        </is>
      </c>
      <c r="J13" s="4" t="inlineStr">
        <is>
          <t>A</t>
        </is>
      </c>
      <c r="K13" s="5" t="inlineStr">
        <is>
          <t>À contacter</t>
        </is>
      </c>
      <c r="L13" s="6" t="inlineStr"/>
      <c r="M13" s="4" t="inlineStr">
        <is>
          <t>https://candidat.francetravail.fr/offres/emploi/formateur/reunion/s20m22d974</t>
        </is>
      </c>
    </row>
    <row r="14">
      <c r="A14" s="4" t="inlineStr">
        <is>
          <t>DCP Formation</t>
        </is>
      </c>
      <c r="B14" s="4" t="inlineStr">
        <is>
          <t>Réunion – Le Tampon + Mayotte</t>
        </is>
      </c>
      <c r="C14" s="4" t="inlineStr">
        <is>
          <t>Réseau national, centres locaux</t>
        </is>
      </c>
      <c r="D14" s="4" t="inlineStr">
        <is>
          <t>Informatique, IA, management, RH, comptabilité</t>
        </is>
      </c>
      <c r="E14" s="4" t="inlineStr">
        <is>
          <t>4 rue du Collège, Plaine des Cafres, 97418 Le Tampon (+ centre à Mamoudzou)</t>
        </is>
      </c>
      <c r="F14" s="4" t="inlineStr"/>
      <c r="G14" s="4" t="inlineStr"/>
      <c r="H14" s="4" t="inlineStr">
        <is>
          <t>https://dcpformation.fr/centre_de_formation/letampon-974/</t>
        </is>
      </c>
      <c r="I14" s="4" t="inlineStr">
        <is>
          <t>Affiche l'IA et le management, et un centre à Mayotte : 2 territoires possibles</t>
        </is>
      </c>
      <c r="J14" s="4" t="inlineStr">
        <is>
          <t>A</t>
        </is>
      </c>
      <c r="K14" s="5" t="inlineStr">
        <is>
          <t>À contacter</t>
        </is>
      </c>
      <c r="L14" s="6" t="inlineStr"/>
      <c r="M14" s="4" t="inlineStr">
        <is>
          <t>https://dcpformation.fr/centre_de_formation/letampon-974/</t>
        </is>
      </c>
    </row>
    <row r="15">
      <c r="A15" s="4" t="inlineStr">
        <is>
          <t>Digitalys</t>
        </is>
      </c>
      <c r="B15" s="4" t="inlineStr">
        <is>
          <t>Réunion – Saint-André</t>
        </is>
      </c>
      <c r="C15" s="4" t="inlineStr">
        <is>
          <t>OF 974</t>
        </is>
      </c>
      <c r="D15" s="4" t="inlineStr">
        <is>
          <t>Soft skills, numérique</t>
        </is>
      </c>
      <c r="E15" s="4" t="inlineStr">
        <is>
          <t>825 avenue des Mascareignes, 97440 Saint-André</t>
        </is>
      </c>
      <c r="F15" s="4" t="inlineStr">
        <is>
          <t>02 62 73 83 52</t>
        </is>
      </c>
      <c r="G15" s="4" t="inlineStr">
        <is>
          <t>contact@digitalysformation.fr</t>
        </is>
      </c>
      <c r="H15" s="4" t="inlineStr"/>
      <c r="I15" s="4" t="inlineStr">
        <is>
          <t>Soft skills + numérique : votre double profil</t>
        </is>
      </c>
      <c r="J15" s="4" t="inlineStr">
        <is>
          <t>A</t>
        </is>
      </c>
      <c r="K15" s="5" t="inlineStr">
        <is>
          <t>À contacter</t>
        </is>
      </c>
      <c r="L15" s="6" t="inlineStr"/>
      <c r="M15" s="4" t="inlineStr">
        <is>
          <t>https://www.capitecorpus.com/formation-communication-soft-skills/</t>
        </is>
      </c>
    </row>
    <row r="16">
      <c r="A16" s="4" t="inlineStr">
        <is>
          <t>AKADEMIA FORMATION</t>
        </is>
      </c>
      <c r="B16" s="4" t="inlineStr">
        <is>
          <t>Réunion – Saint-Denis</t>
        </is>
      </c>
      <c r="C16" s="4" t="inlineStr">
        <is>
          <t>OF 974</t>
        </is>
      </c>
      <c r="D16" s="4" t="inlineStr">
        <is>
          <t>IA</t>
        </is>
      </c>
      <c r="E16" s="4" t="inlineStr">
        <is>
          <t>Saint-Denis 97400</t>
        </is>
      </c>
      <c r="F16" s="4" t="inlineStr"/>
      <c r="G16" s="4" t="inlineStr"/>
      <c r="H16" s="4" t="inlineStr"/>
      <c r="I16" s="4" t="inlineStr">
        <is>
          <t>Annonce « formateur indépendant – Initiation à l'IA » (7 h, présentiel) : candidatez si elle est encore en ligne</t>
        </is>
      </c>
      <c r="J16" s="4" t="inlineStr">
        <is>
          <t>A</t>
        </is>
      </c>
      <c r="K16" s="5" t="inlineStr">
        <is>
          <t>À contacter</t>
        </is>
      </c>
      <c r="L16" s="6" t="inlineStr"/>
      <c r="M16" s="4" t="inlineStr">
        <is>
          <t>https://fr.indeed.com/q-formateur-ia-l-la-r%C3%A9union-emplois.html</t>
        </is>
      </c>
    </row>
    <row r="17">
      <c r="A17" s="4" t="inlineStr">
        <is>
          <t>CQFD Pro</t>
        </is>
      </c>
      <c r="B17" s="4" t="inlineStr">
        <is>
          <t>Réunion – Saint-Denis</t>
        </is>
      </c>
      <c r="C17" s="4" t="inlineStr">
        <is>
          <t>OF 974</t>
        </is>
      </c>
      <c r="D17" s="4" t="inlineStr">
        <is>
          <t>Formation continue sur mesure en entreprise</t>
        </is>
      </c>
      <c r="E17" s="4" t="inlineStr">
        <is>
          <t>Saint-Denis</t>
        </is>
      </c>
      <c r="F17" s="4" t="inlineStr"/>
      <c r="G17" s="4" t="inlineStr"/>
      <c r="H17" s="4" t="inlineStr"/>
      <c r="I17" s="4" t="inlineStr">
        <is>
          <t>Formation sur mesure en entreprise : votre cœur de métier (vente, management, IA)</t>
        </is>
      </c>
      <c r="J17" s="4" t="inlineStr">
        <is>
          <t>A</t>
        </is>
      </c>
      <c r="K17" s="5" t="inlineStr">
        <is>
          <t>À contacter</t>
        </is>
      </c>
      <c r="L17" s="6" t="inlineStr"/>
      <c r="M17" s="4" t="inlineStr">
        <is>
          <t>https://www.pagesjaunes.fr/annuaire/saint-denis-974/organisme-de-formation</t>
        </is>
      </c>
    </row>
    <row r="18">
      <c r="A18" s="4" t="inlineStr">
        <is>
          <t>GRETA Réunion (antenne Nord)</t>
        </is>
      </c>
      <c r="B18" s="4" t="inlineStr">
        <is>
          <t>Réunion – Saint-Denis</t>
        </is>
      </c>
      <c r="C18" s="4" t="inlineStr">
        <is>
          <t>Public (Éducation nationale)</t>
        </is>
      </c>
      <c r="D18" s="4" t="inlineStr">
        <is>
          <t>IA générative (RS 6776), tous domaines</t>
        </is>
      </c>
      <c r="E18" s="4" t="inlineStr">
        <is>
          <t>Saint-Denis</t>
        </is>
      </c>
      <c r="F18" s="4" t="inlineStr"/>
      <c r="G18" s="4" t="inlineStr"/>
      <c r="H18" s="4" t="inlineStr">
        <is>
          <t>https://ftlvreunion.fr/en-ce-moment/news/formation-ia-generative-en-presentiel.html</t>
        </is>
      </c>
      <c r="I18" s="4" t="inlineStr">
        <is>
          <t>Sessions IA du 16 au 18/11/2026 : vacations, module éthique et conformité</t>
        </is>
      </c>
      <c r="J18" s="4" t="inlineStr">
        <is>
          <t>A</t>
        </is>
      </c>
      <c r="K18" s="5" t="inlineStr">
        <is>
          <t>À contacter</t>
        </is>
      </c>
      <c r="L18" s="6" t="inlineStr"/>
      <c r="M18" s="4" t="inlineStr">
        <is>
          <t>https://ftlvreunion.fr/en-ce-moment/news/formation-ia-generative-en-presentiel.html</t>
        </is>
      </c>
    </row>
    <row r="19">
      <c r="A19" s="4" t="inlineStr">
        <is>
          <t>Educatis Forma</t>
        </is>
      </c>
      <c r="B19" s="4" t="inlineStr">
        <is>
          <t>Réunion – Saint-Paul</t>
        </is>
      </c>
      <c r="C19" s="4" t="inlineStr">
        <is>
          <t>OF 974</t>
        </is>
      </c>
      <c r="D19" s="4" t="inlineStr">
        <is>
          <t>Négociation commerciale, assistanat</t>
        </is>
      </c>
      <c r="E19" s="4" t="inlineStr">
        <is>
          <t>Saint-Paul</t>
        </is>
      </c>
      <c r="F19" s="4" t="inlineStr"/>
      <c r="G19" s="4" t="inlineStr"/>
      <c r="H19" s="4" t="inlineStr"/>
      <c r="I19" s="4" t="inlineStr">
        <is>
          <t>Recrutait des formateurs en négociation commerciale</t>
        </is>
      </c>
      <c r="J19" s="4" t="inlineStr">
        <is>
          <t>A</t>
        </is>
      </c>
      <c r="K19" s="5" t="inlineStr">
        <is>
          <t>À contacter</t>
        </is>
      </c>
      <c r="L19" s="6" t="inlineStr"/>
      <c r="M19" s="4" t="inlineStr">
        <is>
          <t>https://candidat.francetravail.fr/offres/emploi/formateur/reunion/s20m22d974</t>
        </is>
      </c>
    </row>
    <row r="20">
      <c r="A20" s="4" t="inlineStr">
        <is>
          <t>Axam Formation</t>
        </is>
      </c>
      <c r="B20" s="4" t="inlineStr">
        <is>
          <t>Réunion – Saint-Pierre</t>
        </is>
      </c>
      <c r="C20" s="4" t="inlineStr">
        <is>
          <t>Réseau national</t>
        </is>
      </c>
      <c r="D20" s="4" t="inlineStr">
        <is>
          <t>Informatique, bureautique, Power BI</t>
        </is>
      </c>
      <c r="E20" s="4" t="inlineStr">
        <is>
          <t>Saint-Pierre 974</t>
        </is>
      </c>
      <c r="F20" s="4" t="inlineStr"/>
      <c r="G20" s="4" t="inlineStr"/>
      <c r="H20" s="4" t="inlineStr">
        <is>
          <t>https://www.axamformation.fr/informatique-saint-pierre/974</t>
        </is>
      </c>
      <c r="I20" s="4" t="inlineStr">
        <is>
          <t>Ajoutez l'IA à leur catalogue bureautique (Copilot, Gemini)</t>
        </is>
      </c>
      <c r="J20" s="4" t="inlineStr">
        <is>
          <t>A</t>
        </is>
      </c>
      <c r="K20" s="5" t="inlineStr">
        <is>
          <t>À contacter</t>
        </is>
      </c>
      <c r="L20" s="6" t="inlineStr"/>
      <c r="M20" s="4" t="inlineStr">
        <is>
          <t>https://www.axamformation.fr/informatique-saint-pierre/974</t>
        </is>
      </c>
    </row>
    <row r="21">
      <c r="A21" s="4" t="inlineStr">
        <is>
          <t>Agepac Formation</t>
        </is>
      </c>
      <c r="B21" s="4" t="inlineStr">
        <is>
          <t>Réunion – Sainte-Clotilde</t>
        </is>
      </c>
      <c r="C21" s="4" t="inlineStr">
        <is>
          <t>CFA / OF (Qualiopi)</t>
        </is>
      </c>
      <c r="D21" s="4" t="inlineStr">
        <is>
          <t>BTS MCO, GPME, assurance</t>
        </is>
      </c>
      <c r="E21" s="4" t="inlineStr">
        <is>
          <t>Sainte-Clotilde, 97490 Saint-Denis</t>
        </is>
      </c>
      <c r="F21" s="4" t="inlineStr"/>
      <c r="G21" s="4" t="inlineStr"/>
      <c r="H21" s="4" t="inlineStr">
        <is>
          <t>https://www.wizbii.com/company/agepac</t>
        </is>
      </c>
      <c r="I21" s="4" t="inlineStr">
        <is>
          <t>BTS MCO = management commercial : vente, management, IA</t>
        </is>
      </c>
      <c r="J21" s="4" t="inlineStr">
        <is>
          <t>A</t>
        </is>
      </c>
      <c r="K21" s="5" t="inlineStr">
        <is>
          <t>À contacter</t>
        </is>
      </c>
      <c r="L21" s="6" t="inlineStr"/>
      <c r="M21" s="4" t="inlineStr">
        <is>
          <t>https://www.wizbii.com/company/agepac/job/assistant-commercial-gestion-et-relation-client-pro-pme-h-f-bts-mco-en-alternance-age13562</t>
        </is>
      </c>
    </row>
    <row r="22">
      <c r="A22" s="4" t="inlineStr">
        <is>
          <t>Appavoo Business School</t>
        </is>
      </c>
      <c r="B22" s="4" t="inlineStr">
        <is>
          <t>Maurice</t>
        </is>
      </c>
      <c r="C22" s="4" t="inlineStr">
        <is>
          <t>Organisme agréé MQA</t>
        </is>
      </c>
      <c r="D22" s="4" t="inlineStr">
        <is>
          <t>Formation en entreprise</t>
        </is>
      </c>
      <c r="E22" s="4" t="inlineStr"/>
      <c r="F22" s="4" t="inlineStr"/>
      <c r="G22" s="4" t="inlineStr"/>
      <c r="H22" s="4" t="inlineStr">
        <is>
          <t>https://appavoo.com/education-n-training/</t>
        </is>
      </c>
      <c r="I22" s="4" t="inlineStr">
        <is>
          <t>Partenariat IA + vente / management</t>
        </is>
      </c>
      <c r="J22" s="4" t="inlineStr">
        <is>
          <t>B</t>
        </is>
      </c>
      <c r="K22" s="5" t="inlineStr">
        <is>
          <t>À contacter</t>
        </is>
      </c>
      <c r="L22" s="6" t="inlineStr"/>
      <c r="M22" s="4" t="inlineStr">
        <is>
          <t>https://appavoo.com/education-n-training/</t>
        </is>
      </c>
    </row>
    <row r="23">
      <c r="A23" s="4" t="inlineStr">
        <is>
          <t>IT Academy</t>
        </is>
      </c>
      <c r="B23" s="4" t="inlineStr">
        <is>
          <t>Maurice – Port-Louis</t>
        </is>
      </c>
      <c r="C23" s="4" t="inlineStr">
        <is>
          <t>Centre agréé MQA</t>
        </is>
      </c>
      <c r="D23" s="4" t="inlineStr">
        <is>
          <t>Certifications informatiques</t>
        </is>
      </c>
      <c r="E23" s="4" t="inlineStr">
        <is>
          <t>Port-Louis</t>
        </is>
      </c>
      <c r="F23" s="4" t="inlineStr"/>
      <c r="G23" s="4" t="inlineStr"/>
      <c r="H23" s="4" t="inlineStr">
        <is>
          <t>https://www.facebook.com/itacademy.mu/</t>
        </is>
      </c>
      <c r="I23" s="4" t="inlineStr">
        <is>
          <t>Module IA appliquée</t>
        </is>
      </c>
      <c r="J23" s="4" t="inlineStr">
        <is>
          <t>B</t>
        </is>
      </c>
      <c r="K23" s="5" t="inlineStr">
        <is>
          <t>À contacter</t>
        </is>
      </c>
      <c r="L23" s="6" t="inlineStr"/>
      <c r="M23" s="4" t="inlineStr">
        <is>
          <t>https://www.facebook.com/itacademy.mu/</t>
        </is>
      </c>
    </row>
    <row r="24">
      <c r="A24" s="4" t="inlineStr">
        <is>
          <t>ESCGM – École supérieure de commerce et de gestion de Mayotte</t>
        </is>
      </c>
      <c r="B24" s="4" t="inlineStr">
        <is>
          <t>Mayotte</t>
        </is>
      </c>
      <c r="C24" s="4" t="inlineStr">
        <is>
          <t>École / OF</t>
        </is>
      </c>
      <c r="D24" s="4" t="inlineStr">
        <is>
          <t>Informatique, développeur web, commerce</t>
        </is>
      </c>
      <c r="E24" s="4" t="inlineStr"/>
      <c r="F24" s="4" t="inlineStr"/>
      <c r="G24" s="4" t="inlineStr"/>
      <c r="H24" s="4" t="inlineStr"/>
      <c r="I24" s="4" t="inlineStr">
        <is>
          <t>IA et RGPD dans les cursus informatique et commerce</t>
        </is>
      </c>
      <c r="J24" s="4" t="inlineStr">
        <is>
          <t>B</t>
        </is>
      </c>
      <c r="K24" s="5" t="inlineStr">
        <is>
          <t>À contacter</t>
        </is>
      </c>
      <c r="L24" s="6" t="inlineStr"/>
      <c r="M24" s="4" t="inlineStr">
        <is>
          <t>https://www.intercariforef.org/formations/cole-suprieur-de-commerce-et-de-gestion-de-mayotte.-escgm/organisme-39_225.html</t>
        </is>
      </c>
    </row>
    <row r="25">
      <c r="A25" s="4" t="inlineStr">
        <is>
          <t>ITG Learning</t>
        </is>
      </c>
      <c r="B25" s="4" t="inlineStr">
        <is>
          <t>Métropole → 974</t>
        </is>
      </c>
      <c r="C25" s="4" t="inlineStr">
        <is>
          <t>OF qui porte des formateurs indépendants</t>
        </is>
      </c>
      <c r="D25" s="4" t="inlineStr">
        <is>
          <t>IA, tous domaines</t>
        </is>
      </c>
      <c r="E25" s="4" t="inlineStr"/>
      <c r="F25" s="4" t="inlineStr"/>
      <c r="G25" s="4" t="inlineStr"/>
      <c r="H25" s="4" t="inlineStr"/>
      <c r="I25" s="4" t="inlineStr">
        <is>
          <t>Déjà utilisé par un formateur IA du 974 pour la prise en charge OPCO. Vous avez votre propre Qualiopi : proposez-leur l'inverse, des missions en sous-traitance</t>
        </is>
      </c>
      <c r="J25" s="4" t="inlineStr">
        <is>
          <t>B</t>
        </is>
      </c>
      <c r="K25" s="5" t="inlineStr">
        <is>
          <t>À contacter</t>
        </is>
      </c>
      <c r="L25" s="6" t="inlineStr"/>
      <c r="M25" s="4" t="inlineStr">
        <is>
          <t>https://jmberthelot.com/formation-intelligence-artificielle-la-reunion.html</t>
        </is>
      </c>
    </row>
    <row r="26">
      <c r="A26" s="4" t="inlineStr">
        <is>
          <t>CNFPT – délégation Réunion</t>
        </is>
      </c>
      <c r="B26" s="4" t="inlineStr">
        <is>
          <t>Réunion</t>
        </is>
      </c>
      <c r="C26" s="4" t="inlineStr">
        <is>
          <t>Public (agents territoriaux)</t>
        </is>
      </c>
      <c r="D26" s="4" t="inlineStr">
        <is>
          <t>Formation des collectivités</t>
        </is>
      </c>
      <c r="E26" s="4" t="inlineStr"/>
      <c r="F26" s="4" t="inlineStr"/>
      <c r="G26" s="4" t="inlineStr"/>
      <c r="H26" s="4" t="inlineStr">
        <is>
          <t>https://www.cnfpt.fr/se-former/suivre-formation/inscription-ligne/vos-interlocuteurs-formation-a-delegation-reunion/vos-contacts-a-delegation-reunion/reunion</t>
        </is>
      </c>
      <c r="I26" s="4" t="inlineStr">
        <is>
          <t>Les collectivités se forment à l'IA : se faire référencer comme intervenant</t>
        </is>
      </c>
      <c r="J26" s="4" t="inlineStr">
        <is>
          <t>B</t>
        </is>
      </c>
      <c r="K26" s="5" t="inlineStr">
        <is>
          <t>À contacter</t>
        </is>
      </c>
      <c r="L26" s="6" t="inlineStr"/>
      <c r="M26" s="4" t="inlineStr">
        <is>
          <t>https://www.cnfpt.fr/se-former/suivre-formation/inscription-ligne/vos-interlocuteurs-formation-a-delegation-reunion/vos-contacts-a-delegation-reunion/reunion</t>
        </is>
      </c>
    </row>
    <row r="27">
      <c r="A27" s="4" t="inlineStr">
        <is>
          <t>Simplon (partenaire de l'AFPAR)</t>
        </is>
      </c>
      <c r="B27" s="4" t="inlineStr">
        <is>
          <t>Réunion</t>
        </is>
      </c>
      <c r="C27" s="4" t="inlineStr">
        <is>
          <t>OF national</t>
        </is>
      </c>
      <c r="D27" s="4" t="inlineStr">
        <is>
          <t>Développeur IA</t>
        </is>
      </c>
      <c r="E27" s="4" t="inlineStr"/>
      <c r="F27" s="4" t="inlineStr"/>
      <c r="G27" s="4" t="inlineStr"/>
      <c r="H27" s="4" t="inlineStr"/>
      <c r="I27" s="4" t="inlineStr">
        <is>
          <t>Module conformité IA Act / RGPD dans la formation développeur IA</t>
        </is>
      </c>
      <c r="J27" s="4" t="inlineStr">
        <is>
          <t>B</t>
        </is>
      </c>
      <c r="K27" s="5" t="inlineStr">
        <is>
          <t>À contacter</t>
        </is>
      </c>
      <c r="L27" s="6" t="inlineStr"/>
      <c r="M27" s="4" t="inlineStr">
        <is>
          <t>https://outremers360.com/bassin-indien-appli/la-reunion-une-premiere-formation-de-developpeur-en-intelligence-artificielle-pour-le-territoire</t>
        </is>
      </c>
    </row>
    <row r="28">
      <c r="A28" s="4" t="inlineStr">
        <is>
          <t>AFPAR</t>
        </is>
      </c>
      <c r="B28" s="4" t="inlineStr">
        <is>
          <t>Réunion (4 centres)</t>
        </is>
      </c>
      <c r="C28" s="4" t="inlineStr">
        <is>
          <t>Organisme régional</t>
        </is>
      </c>
      <c r="D28" s="4" t="inlineStr">
        <is>
          <t>150 formations, parcours développeur IA</t>
        </is>
      </c>
      <c r="E28" s="4" t="inlineStr">
        <is>
          <t>Centres de Saint-André, Saint-Denis, Saint-Paul, Saint-Pierre</t>
        </is>
      </c>
      <c r="F28" s="4" t="inlineStr"/>
      <c r="G28" s="4" t="inlineStr"/>
      <c r="H28" s="4" t="inlineStr">
        <is>
          <t>https://afpar.re/</t>
        </is>
      </c>
      <c r="I28" s="4" t="inlineStr">
        <is>
          <t>Intervenant « éthique, RGPD, IA Act » dans le parcours IA</t>
        </is>
      </c>
      <c r="J28" s="4" t="inlineStr">
        <is>
          <t>B</t>
        </is>
      </c>
      <c r="K28" s="5" t="inlineStr">
        <is>
          <t>À contacter</t>
        </is>
      </c>
      <c r="L28" s="6" t="inlineStr"/>
      <c r="M28" s="4" t="inlineStr">
        <is>
          <t>https://afpar.re/</t>
        </is>
      </c>
    </row>
    <row r="29">
      <c r="A29" s="4" t="inlineStr">
        <is>
          <t>Envergure</t>
        </is>
      </c>
      <c r="B29" s="4" t="inlineStr">
        <is>
          <t>Réunion – La Possession</t>
        </is>
      </c>
      <c r="C29" s="4" t="inlineStr">
        <is>
          <t>OF 974 (Qualiopi)</t>
        </is>
      </c>
      <c r="D29" s="4" t="inlineStr">
        <is>
          <t>Accompagnement de consultants indépendants</t>
        </is>
      </c>
      <c r="E29" s="4" t="inlineStr">
        <is>
          <t>5 rue Justin Baptiste, 97419 La Possession</t>
        </is>
      </c>
      <c r="F29" s="4" t="inlineStr"/>
      <c r="G29" s="4" t="inlineStr"/>
      <c r="H29" s="4" t="inlineStr"/>
      <c r="I29" s="4" t="inlineStr">
        <is>
          <t>Travaille avec des consultants indépendants : partenariat naturel</t>
        </is>
      </c>
      <c r="J29" s="4" t="inlineStr">
        <is>
          <t>B</t>
        </is>
      </c>
      <c r="K29" s="5" t="inlineStr">
        <is>
          <t>À contacter</t>
        </is>
      </c>
      <c r="L29" s="6" t="inlineStr"/>
      <c r="M29" s="4" t="inlineStr">
        <is>
          <t>https://www.pagesjaunes.fr/annuaire/le-port-974/organisme-de-formation</t>
        </is>
      </c>
    </row>
    <row r="30">
      <c r="A30" s="4" t="inlineStr">
        <is>
          <t>ILOI – Institut de l'Image de l'Océan Indien</t>
        </is>
      </c>
      <c r="B30" s="4" t="inlineStr">
        <is>
          <t>Réunion – Le Port</t>
        </is>
      </c>
      <c r="C30" s="4" t="inlineStr">
        <is>
          <t>École</t>
        </is>
      </c>
      <c r="D30" s="4" t="inlineStr">
        <is>
          <t>Audiovisuel, création numérique, IA</t>
        </is>
      </c>
      <c r="E30" s="4" t="inlineStr">
        <is>
          <t>Le Port</t>
        </is>
      </c>
      <c r="F30" s="4" t="inlineStr"/>
      <c r="G30" s="4" t="inlineStr"/>
      <c r="H30" s="4" t="inlineStr"/>
      <c r="I30" s="4" t="inlineStr">
        <is>
          <t>Recrutait des formateurs externes 2026-2027 avec un module IA (clos le 24/09) : candidature spontanée</t>
        </is>
      </c>
      <c r="J30" s="4" t="inlineStr">
        <is>
          <t>B</t>
        </is>
      </c>
      <c r="K30" s="5" t="inlineStr">
        <is>
          <t>À contacter</t>
        </is>
      </c>
      <c r="L30" s="6" t="inlineStr"/>
      <c r="M30" s="4" t="inlineStr">
        <is>
          <t>Résultat de recherche e-marchespublics.com</t>
        </is>
      </c>
    </row>
    <row r="31">
      <c r="A31" s="4" t="inlineStr">
        <is>
          <t>CFA Horizon Réunion</t>
        </is>
      </c>
      <c r="B31" s="4" t="inlineStr">
        <is>
          <t>Réunion – Le Tampon</t>
        </is>
      </c>
      <c r="C31" s="4" t="inlineStr">
        <is>
          <t>CFA (Qualiopi)</t>
        </is>
      </c>
      <c r="D31" s="4" t="inlineStr">
        <is>
          <t>Vente, commerce, marketing (Bac à Bac+3)</t>
        </is>
      </c>
      <c r="E31" s="4" t="inlineStr">
        <is>
          <t>4 boulevard Michel Debré, 97430 Le Tampon</t>
        </is>
      </c>
      <c r="F31" s="4" t="inlineStr"/>
      <c r="G31" s="4" t="inlineStr"/>
      <c r="H31" s="4" t="inlineStr"/>
      <c r="I31" s="4" t="inlineStr">
        <is>
          <t>Vente + IA appliquée au commerce</t>
        </is>
      </c>
      <c r="J31" s="4" t="inlineStr">
        <is>
          <t>B</t>
        </is>
      </c>
      <c r="K31" s="5" t="inlineStr">
        <is>
          <t>À contacter</t>
        </is>
      </c>
      <c r="L31" s="6" t="inlineStr"/>
      <c r="M31" s="4" t="inlineStr">
        <is>
          <t>https://www.pagesjaunes.fr/pros/12005556</t>
        </is>
      </c>
    </row>
    <row r="32">
      <c r="A32" s="4" t="inlineStr">
        <is>
          <t>Form'aou</t>
        </is>
      </c>
      <c r="B32" s="4" t="inlineStr">
        <is>
          <t>Réunion – Saint-André + Saint-Louis</t>
        </is>
      </c>
      <c r="C32" s="4" t="inlineStr">
        <is>
          <t>OF / CFA</t>
        </is>
      </c>
      <c r="D32" s="4" t="inlineStr">
        <is>
          <t>Commerce, administration, coiffure</t>
        </is>
      </c>
      <c r="E32" s="4" t="inlineStr">
        <is>
          <t>Saint-André (+ centre à Saint-Louis)</t>
        </is>
      </c>
      <c r="F32" s="4" t="inlineStr"/>
      <c r="G32" s="4" t="inlineStr"/>
      <c r="H32" s="4" t="inlineStr"/>
      <c r="I32" s="4" t="inlineStr">
        <is>
          <t>Commerce et vente</t>
        </is>
      </c>
      <c r="J32" s="4" t="inlineStr">
        <is>
          <t>B</t>
        </is>
      </c>
      <c r="K32" s="5" t="inlineStr">
        <is>
          <t>À contacter</t>
        </is>
      </c>
      <c r="L32" s="6" t="inlineStr"/>
      <c r="M32" s="4" t="inlineStr">
        <is>
          <t>https://candidat.francetravail.fr/offres/emploi/formateur/reunion/s20m22d974</t>
        </is>
      </c>
    </row>
    <row r="33">
      <c r="A33" s="4" t="inlineStr">
        <is>
          <t>Advance Formation &amp; Développement</t>
        </is>
      </c>
      <c r="B33" s="4" t="inlineStr">
        <is>
          <t>Réunion – Saint-Benoît</t>
        </is>
      </c>
      <c r="C33" s="4" t="inlineStr">
        <is>
          <t>OF 974</t>
        </is>
      </c>
      <c r="D33" s="4" t="inlineStr">
        <is>
          <t>Soft skills</t>
        </is>
      </c>
      <c r="E33" s="4" t="inlineStr">
        <is>
          <t>Saint-Benoît</t>
        </is>
      </c>
      <c r="F33" s="4" t="inlineStr"/>
      <c r="G33" s="4" t="inlineStr"/>
      <c r="H33" s="4" t="inlineStr">
        <is>
          <t>https://www.mesenseignes.fr/advance-formation-developpement/5167-formation-soft-skills-a-lile-de-la-reunion-974/</t>
        </is>
      </c>
      <c r="I33" s="4" t="inlineStr">
        <is>
          <t>Soft skills : votre expertise historique</t>
        </is>
      </c>
      <c r="J33" s="4" t="inlineStr">
        <is>
          <t>B</t>
        </is>
      </c>
      <c r="K33" s="5" t="inlineStr">
        <is>
          <t>À contacter</t>
        </is>
      </c>
      <c r="L33" s="6" t="inlineStr"/>
      <c r="M33" s="4" t="inlineStr">
        <is>
          <t>https://www.mesenseignes.fr/advance-formation-developpement/5167-formation-soft-skills-a-lile-de-la-reunion-974/</t>
        </is>
      </c>
    </row>
    <row r="34">
      <c r="A34" s="4" t="inlineStr">
        <is>
          <t>Run Paye Formation</t>
        </is>
      </c>
      <c r="B34" s="4" t="inlineStr">
        <is>
          <t>Réunion – Saint-Benoît</t>
        </is>
      </c>
      <c r="C34" s="4" t="inlineStr">
        <is>
          <t>OF 974</t>
        </is>
      </c>
      <c r="D34" s="4" t="inlineStr">
        <is>
          <t>Paie, gestion</t>
        </is>
      </c>
      <c r="E34" s="4" t="inlineStr">
        <is>
          <t>55 rue Auguste de Villèle, 97470 Saint-Benoît</t>
        </is>
      </c>
      <c r="F34" s="4" t="inlineStr"/>
      <c r="G34" s="4" t="inlineStr"/>
      <c r="H34" s="4" t="inlineStr"/>
      <c r="I34" s="4" t="inlineStr">
        <is>
          <t>IA et RGPD pour les gestionnaires de paie (données sensibles)</t>
        </is>
      </c>
      <c r="J34" s="4" t="inlineStr">
        <is>
          <t>B</t>
        </is>
      </c>
      <c r="K34" s="5" t="inlineStr">
        <is>
          <t>À contacter</t>
        </is>
      </c>
      <c r="L34" s="6" t="inlineStr"/>
      <c r="M34" s="4" t="inlineStr">
        <is>
          <t>https://www.pagesjaunes.fr/annuaire/saint-benoit-974/formation-professionnelle</t>
        </is>
      </c>
    </row>
    <row r="35">
      <c r="A35" s="4" t="inlineStr">
        <is>
          <t>CFA de l'Université de La Réunion / FTLV</t>
        </is>
      </c>
      <c r="B35" s="4" t="inlineStr">
        <is>
          <t>Réunion – Saint-Denis</t>
        </is>
      </c>
      <c r="C35" s="4" t="inlineStr">
        <is>
          <t>Public (université)</t>
        </is>
      </c>
      <c r="D35" s="4" t="inlineStr">
        <is>
          <t>Tertiaire, numérique</t>
        </is>
      </c>
      <c r="E35" s="4" t="inlineStr">
        <is>
          <t>2 rue Joseph Wetzell, 97400 Saint-Denis</t>
        </is>
      </c>
      <c r="F35" s="4" t="inlineStr"/>
      <c r="G35" s="4" t="inlineStr"/>
      <c r="H35" s="4" t="inlineStr">
        <is>
          <t>https://ftlvreunion.fr/</t>
        </is>
      </c>
      <c r="I35" s="4" t="inlineStr">
        <is>
          <t>Intervenant professionnel IA / RGPD en licence pro et formation continue</t>
        </is>
      </c>
      <c r="J35" s="4" t="inlineStr">
        <is>
          <t>B</t>
        </is>
      </c>
      <c r="K35" s="5" t="inlineStr">
        <is>
          <t>À contacter</t>
        </is>
      </c>
      <c r="L35" s="6" t="inlineStr"/>
      <c r="M35" s="4" t="inlineStr">
        <is>
          <t>http://geolocalisation.onisep.fr/974-la-reunion/saint-denis/cfa/centre-de-formation-d-apprentis-de-l-universite-de-la-reunion-universite-de-la-reunion.html</t>
        </is>
      </c>
    </row>
    <row r="36">
      <c r="A36" s="4" t="inlineStr">
        <is>
          <t>EAFC – École académique de la formation continue</t>
        </is>
      </c>
      <c r="B36" s="4" t="inlineStr">
        <is>
          <t>Réunion – Saint-Denis</t>
        </is>
      </c>
      <c r="C36" s="4" t="inlineStr">
        <is>
          <t>Public (académie)</t>
        </is>
      </c>
      <c r="D36" s="4" t="inlineStr">
        <is>
          <t>Formation continue</t>
        </is>
      </c>
      <c r="E36" s="4" t="inlineStr">
        <is>
          <t>24 avenue Georges Brassens, 97400 Saint-Denis</t>
        </is>
      </c>
      <c r="F36" s="4" t="inlineStr">
        <is>
          <t>02 62 48 13 39</t>
        </is>
      </c>
      <c r="G36" s="4" t="inlineStr"/>
      <c r="H36" s="4" t="inlineStr"/>
      <c r="I36" s="4" t="inlineStr">
        <is>
          <t>Recrute des intervenants vacataires : dossier de candidature</t>
        </is>
      </c>
      <c r="J36" s="4" t="inlineStr">
        <is>
          <t>B</t>
        </is>
      </c>
      <c r="K36" s="5" t="inlineStr">
        <is>
          <t>À contacter</t>
        </is>
      </c>
      <c r="L36" s="6" t="inlineStr"/>
      <c r="M36" s="4" t="inlineStr">
        <is>
          <t>https://www.ac-reunion.fr/media/46832/download</t>
        </is>
      </c>
    </row>
    <row r="37">
      <c r="A37" s="4" t="inlineStr">
        <is>
          <t>Develop'A Ou</t>
        </is>
      </c>
      <c r="B37" s="4" t="inlineStr">
        <is>
          <t>Réunion – Saint-Leu</t>
        </is>
      </c>
      <c r="C37" s="4" t="inlineStr">
        <is>
          <t>OF 974 (Qualiopi)</t>
        </is>
      </c>
      <c r="D37" s="4" t="inlineStr">
        <is>
          <t>Bureautique, informatique, accueil, petite enfance</t>
        </is>
      </c>
      <c r="E37" s="4" t="inlineStr">
        <is>
          <t>5 chemin des Francisceas, 97425 Saint-Leu</t>
        </is>
      </c>
      <c r="F37" s="4" t="inlineStr"/>
      <c r="G37" s="4" t="inlineStr"/>
      <c r="H37" s="4" t="inlineStr"/>
      <c r="I37" s="4" t="inlineStr">
        <is>
          <t>IA dans les formations bureautique</t>
        </is>
      </c>
      <c r="J37" s="4" t="inlineStr">
        <is>
          <t>B</t>
        </is>
      </c>
      <c r="K37" s="5" t="inlineStr">
        <is>
          <t>À contacter</t>
        </is>
      </c>
      <c r="L37" s="6" t="inlineStr"/>
      <c r="M37" s="4" t="inlineStr">
        <is>
          <t>https://www.pagesjaunes.fr/annuaire/saint-leu-974/apprentissage-formation-professionnelle</t>
        </is>
      </c>
    </row>
    <row r="38">
      <c r="A38" s="4" t="inlineStr">
        <is>
          <t>Ariane Formation</t>
        </is>
      </c>
      <c r="B38" s="4" t="inlineStr">
        <is>
          <t>Réunion – Saint-Paul</t>
        </is>
      </c>
      <c r="C38" s="4" t="inlineStr">
        <is>
          <t>OF 974 (Qualiopi depuis 2003)</t>
        </is>
      </c>
      <c r="D38" s="4" t="inlineStr">
        <is>
          <t>Formation continue</t>
        </is>
      </c>
      <c r="E38" s="4" t="inlineStr">
        <is>
          <t>6 route de Savanna, 97460 Saint-Paul</t>
        </is>
      </c>
      <c r="F38" s="4" t="inlineStr"/>
      <c r="G38" s="4" t="inlineStr"/>
      <c r="H38" s="4" t="inlineStr">
        <is>
          <t>https://www.ariane-formation.re/</t>
        </is>
      </c>
      <c r="I38" s="4" t="inlineStr">
        <is>
          <t>Candidature spontanée</t>
        </is>
      </c>
      <c r="J38" s="4" t="inlineStr">
        <is>
          <t>B</t>
        </is>
      </c>
      <c r="K38" s="5" t="inlineStr">
        <is>
          <t>À contacter</t>
        </is>
      </c>
      <c r="L38" s="6" t="inlineStr"/>
      <c r="M38" s="4" t="inlineStr">
        <is>
          <t>https://www.ariane-formation.re/</t>
        </is>
      </c>
    </row>
    <row r="39">
      <c r="A39" s="4" t="inlineStr">
        <is>
          <t>Capital Formation</t>
        </is>
      </c>
      <c r="B39" s="4" t="inlineStr">
        <is>
          <t>Réunion – Saint-Paul</t>
        </is>
      </c>
      <c r="C39" s="4" t="inlineStr">
        <is>
          <t>OF 974 (Qualiopi, 20 ans)</t>
        </is>
      </c>
      <c r="D39" s="4" t="inlineStr">
        <is>
          <t>Formation continue, bilan, apprentissage</t>
        </is>
      </c>
      <c r="E39" s="4" t="inlineStr">
        <is>
          <t>171 Chaussée Royale, 1er étage, 97460 Saint-Paul</t>
        </is>
      </c>
      <c r="F39" s="4" t="inlineStr"/>
      <c r="G39" s="4" t="inlineStr"/>
      <c r="H39" s="4" t="inlineStr"/>
      <c r="I39" s="4" t="inlineStr">
        <is>
          <t>Candidature : management, vente, IA</t>
        </is>
      </c>
      <c r="J39" s="4" t="inlineStr">
        <is>
          <t>B</t>
        </is>
      </c>
      <c r="K39" s="5" t="inlineStr">
        <is>
          <t>À contacter</t>
        </is>
      </c>
      <c r="L39" s="6" t="inlineStr"/>
      <c r="M39" s="4" t="inlineStr">
        <is>
          <t>https://www.pagesjaunes.fr/annuaire/saint-paul-974/formation-professionnelle</t>
        </is>
      </c>
    </row>
    <row r="40">
      <c r="A40" s="4" t="inlineStr">
        <is>
          <t>AREFIP</t>
        </is>
      </c>
      <c r="B40" s="4" t="inlineStr">
        <is>
          <t>Réunion – Saint-Pierre</t>
        </is>
      </c>
      <c r="C40" s="4" t="inlineStr">
        <is>
          <t>OF 974 (Qualiopi depuis l'origine)</t>
        </is>
      </c>
      <c r="D40" s="4" t="inlineStr">
        <is>
          <t>Formation professionnelle, informatique, solutions RH</t>
        </is>
      </c>
      <c r="E40" s="4" t="inlineStr">
        <is>
          <t>24 Cité de la Plaine, 97410 Saint-Pierre</t>
        </is>
      </c>
      <c r="F40" s="4" t="inlineStr">
        <is>
          <t>02 62 96 19 79</t>
        </is>
      </c>
      <c r="G40" s="4" t="inlineStr"/>
      <c r="H40" s="4" t="inlineStr">
        <is>
          <t>https://www.arefip.fr/</t>
        </is>
      </c>
      <c r="I40" s="4" t="inlineStr">
        <is>
          <t>Informatique + RH : IA et RGPD pour les fonctions RH</t>
        </is>
      </c>
      <c r="J40" s="4" t="inlineStr">
        <is>
          <t>B</t>
        </is>
      </c>
      <c r="K40" s="5" t="inlineStr">
        <is>
          <t>À contacter</t>
        </is>
      </c>
      <c r="L40" s="6" t="inlineStr"/>
      <c r="M40" s="4" t="inlineStr">
        <is>
          <t>https://www.arefip.fr/</t>
        </is>
      </c>
    </row>
    <row r="41">
      <c r="A41" s="4" t="inlineStr">
        <is>
          <t>CEFOR – Centre d'enseignement et de formation de la Réunion</t>
        </is>
      </c>
      <c r="B41" s="4" t="inlineStr">
        <is>
          <t>Réunion – Saint-Pierre</t>
        </is>
      </c>
      <c r="C41" s="4" t="inlineStr">
        <is>
          <t>CFA</t>
        </is>
      </c>
      <c r="D41" s="4" t="inlineStr">
        <is>
          <t>BTS comptabilité et gestion</t>
        </is>
      </c>
      <c r="E41" s="4" t="inlineStr">
        <is>
          <t>2 avenue Laurent Vergès, 97432 Saint-Pierre</t>
        </is>
      </c>
      <c r="F41" s="4" t="inlineStr"/>
      <c r="G41" s="4" t="inlineStr"/>
      <c r="H41" s="4" t="inlineStr"/>
      <c r="I41" s="4" t="inlineStr">
        <is>
          <t>IA pour la comptabilité et la gestion</t>
        </is>
      </c>
      <c r="J41" s="4" t="inlineStr">
        <is>
          <t>B</t>
        </is>
      </c>
      <c r="K41" s="5" t="inlineStr">
        <is>
          <t>À contacter</t>
        </is>
      </c>
      <c r="L41" s="6" t="inlineStr"/>
      <c r="M41" s="4" t="inlineStr">
        <is>
          <t>https://dossierappel.parcoursup.fr/Candidats/public/fiches/afficherFicheFormation?g_ta_cod=48130&amp;typeBac=0&amp;originePc=0</t>
        </is>
      </c>
    </row>
    <row r="42">
      <c r="A42" s="4" t="inlineStr">
        <is>
          <t>GEM Formation</t>
        </is>
      </c>
      <c r="B42" s="4" t="inlineStr">
        <is>
          <t>Réunion – Saint-Pierre</t>
        </is>
      </c>
      <c r="C42" s="4" t="inlineStr">
        <is>
          <t>OF / CFA (Qualiopi)</t>
        </is>
      </c>
      <c r="D42" s="4" t="inlineStr">
        <is>
          <t>Assistant de direction, formation continue, bilan, VAE</t>
        </is>
      </c>
      <c r="E42" s="4" t="inlineStr">
        <is>
          <t>35 ter rue du Four à Chaux, 97410 Saint-Pierre</t>
        </is>
      </c>
      <c r="F42" s="4" t="inlineStr"/>
      <c r="G42" s="4" t="inlineStr"/>
      <c r="H42" s="4" t="inlineStr">
        <is>
          <t>https://www.facebook.com/gemformation974/</t>
        </is>
      </c>
      <c r="I42" s="4" t="inlineStr">
        <is>
          <t>10 à 19 salariés ; modules IA bureautique pour assistants de direction</t>
        </is>
      </c>
      <c r="J42" s="4" t="inlineStr">
        <is>
          <t>B</t>
        </is>
      </c>
      <c r="K42" s="5" t="inlineStr">
        <is>
          <t>À contacter</t>
        </is>
      </c>
      <c r="L42" s="6" t="inlineStr"/>
      <c r="M42" s="4" t="inlineStr">
        <is>
          <t>https://www.pagesjaunes.fr/annuaire/saint-pierre-974/formation-professionnelle</t>
        </is>
      </c>
    </row>
    <row r="43">
      <c r="A43" s="4" t="inlineStr">
        <is>
          <t>Success Formation</t>
        </is>
      </c>
      <c r="B43" s="4" t="inlineStr">
        <is>
          <t>Réunion – Saint-Pierre</t>
        </is>
      </c>
      <c r="C43" s="4" t="inlineStr">
        <is>
          <t>CFA / OF</t>
        </is>
      </c>
      <c r="D43" s="4" t="inlineStr">
        <is>
          <t>Assistant manager, assistant commercial, logistique</t>
        </is>
      </c>
      <c r="E43" s="4" t="inlineStr">
        <is>
          <t>Saint-Pierre</t>
        </is>
      </c>
      <c r="F43" s="4" t="inlineStr"/>
      <c r="G43" s="4" t="inlineStr"/>
      <c r="H43" s="4" t="inlineStr"/>
      <c r="I43" s="4" t="inlineStr">
        <is>
          <t>Titres « assistant manager » et « commercial » : management et vente</t>
        </is>
      </c>
      <c r="J43" s="4" t="inlineStr">
        <is>
          <t>B</t>
        </is>
      </c>
      <c r="K43" s="5" t="inlineStr">
        <is>
          <t>À contacter</t>
        </is>
      </c>
      <c r="L43" s="6" t="inlineStr"/>
      <c r="M43" s="4" t="inlineStr">
        <is>
          <t>https://candidat.francetravail.fr/offres/emploi/formateur/reunion/s20m22d974</t>
        </is>
      </c>
    </row>
    <row r="44">
      <c r="A44" s="4" t="inlineStr">
        <is>
          <t>Unicomp Computer Training Institute</t>
        </is>
      </c>
      <c r="B44" s="4" t="inlineStr">
        <is>
          <t>Maurice – Port-Louis</t>
        </is>
      </c>
      <c r="C44" s="4" t="inlineStr">
        <is>
          <t>Organisme agréé MQA</t>
        </is>
      </c>
      <c r="D44" s="4" t="inlineStr">
        <is>
          <t>Informatique</t>
        </is>
      </c>
      <c r="E44" s="4" t="inlineStr">
        <is>
          <t>St Pierre, Port-Louis</t>
        </is>
      </c>
      <c r="F44" s="4" t="inlineStr"/>
      <c r="G44" s="4" t="inlineStr"/>
      <c r="H44" s="4" t="inlineStr">
        <is>
          <t>https://unicomp.mu/</t>
        </is>
      </c>
      <c r="I44" s="4" t="inlineStr">
        <is>
          <t>Module IA appliquée</t>
        </is>
      </c>
      <c r="J44" s="4" t="inlineStr">
        <is>
          <t>C</t>
        </is>
      </c>
      <c r="K44" s="5" t="inlineStr">
        <is>
          <t>À contacter</t>
        </is>
      </c>
      <c r="L44" s="6" t="inlineStr"/>
      <c r="M44" s="4" t="inlineStr">
        <is>
          <t>https://unicomp.mu/</t>
        </is>
      </c>
    </row>
    <row r="45">
      <c r="A45" s="4" t="inlineStr">
        <is>
          <t>Forma Plus Consulting</t>
        </is>
      </c>
      <c r="B45" s="4" t="inlineStr">
        <is>
          <t>Mayotte</t>
        </is>
      </c>
      <c r="C45" s="4" t="inlineStr">
        <is>
          <t>OF 976 (Qualiopi)</t>
        </is>
      </c>
      <c r="D45" s="4" t="inlineStr">
        <is>
          <t>Formation professionnelle</t>
        </is>
      </c>
      <c r="E45" s="4" t="inlineStr"/>
      <c r="F45" s="4" t="inlineStr"/>
      <c r="G45" s="4" t="inlineStr"/>
      <c r="H45" s="4" t="inlineStr"/>
      <c r="I45" s="4" t="inlineStr">
        <is>
          <t>Candidature spontanée</t>
        </is>
      </c>
      <c r="J45" s="4" t="inlineStr">
        <is>
          <t>C</t>
        </is>
      </c>
      <c r="K45" s="5" t="inlineStr">
        <is>
          <t>À contacter</t>
        </is>
      </c>
      <c r="L45" s="6" t="inlineStr"/>
      <c r="M45" s="4" t="inlineStr">
        <is>
          <t>https://www.pagesjaunes.fr/annuaire/departement/mayotte-976/formation-professionnelle</t>
        </is>
      </c>
    </row>
    <row r="46">
      <c r="A46" s="4" t="inlineStr">
        <is>
          <t>CFPEI</t>
        </is>
      </c>
      <c r="B46" s="4" t="inlineStr">
        <is>
          <t>Mayotte – Mamoudzou</t>
        </is>
      </c>
      <c r="C46" s="4" t="inlineStr">
        <is>
          <t>OF 976</t>
        </is>
      </c>
      <c r="D46" s="4" t="inlineStr">
        <is>
          <t>Emploi et insertion</t>
        </is>
      </c>
      <c r="E46" s="4" t="inlineStr">
        <is>
          <t>Mamoudzou</t>
        </is>
      </c>
      <c r="F46" s="4" t="inlineStr"/>
      <c r="G46" s="4" t="inlineStr"/>
      <c r="H46" s="4" t="inlineStr"/>
      <c r="I46" s="4" t="inlineStr">
        <is>
          <t>Candidature spontanée</t>
        </is>
      </c>
      <c r="J46" s="4" t="inlineStr">
        <is>
          <t>C</t>
        </is>
      </c>
      <c r="K46" s="5" t="inlineStr">
        <is>
          <t>À contacter</t>
        </is>
      </c>
      <c r="L46" s="6" t="inlineStr"/>
      <c r="M46" s="4" t="inlineStr">
        <is>
          <t>https://www.pagesjaunes.fr/annuaire/departement/mayotte-976/formation-professionnelle</t>
        </is>
      </c>
    </row>
    <row r="47">
      <c r="A47" s="4" t="inlineStr">
        <is>
          <t>Forma Boost</t>
        </is>
      </c>
      <c r="B47" s="4" t="inlineStr">
        <is>
          <t>Mayotte – Mamoudzou</t>
        </is>
      </c>
      <c r="C47" s="4" t="inlineStr">
        <is>
          <t>OF 976</t>
        </is>
      </c>
      <c r="D47" s="4" t="inlineStr">
        <is>
          <t>Formation professionnelle</t>
        </is>
      </c>
      <c r="E47" s="4" t="inlineStr">
        <is>
          <t>Mamoudzou</t>
        </is>
      </c>
      <c r="F47" s="4" t="inlineStr"/>
      <c r="G47" s="4" t="inlineStr"/>
      <c r="H47" s="4" t="inlineStr"/>
      <c r="I47" s="4" t="inlineStr">
        <is>
          <t>Candidature spontanée</t>
        </is>
      </c>
      <c r="J47" s="4" t="inlineStr">
        <is>
          <t>C</t>
        </is>
      </c>
      <c r="K47" s="5" t="inlineStr">
        <is>
          <t>À contacter</t>
        </is>
      </c>
      <c r="L47" s="6" t="inlineStr"/>
      <c r="M47" s="4" t="inlineStr">
        <is>
          <t>https://www.pagesjaunes.fr/pros/61699180</t>
        </is>
      </c>
    </row>
    <row r="48">
      <c r="A48" s="4" t="inlineStr">
        <is>
          <t>Mayotte Consulting et Formation</t>
        </is>
      </c>
      <c r="B48" s="4" t="inlineStr">
        <is>
          <t>Mayotte – Mamoudzou</t>
        </is>
      </c>
      <c r="C48" s="4" t="inlineStr">
        <is>
          <t>OF 976</t>
        </is>
      </c>
      <c r="D48" s="4" t="inlineStr">
        <is>
          <t>Formation continue</t>
        </is>
      </c>
      <c r="E48" s="4" t="inlineStr">
        <is>
          <t>18 rue Zamantale, Kawéni, 97600 Mamoudzou</t>
        </is>
      </c>
      <c r="F48" s="4" t="inlineStr"/>
      <c r="G48" s="4" t="inlineStr"/>
      <c r="H48" s="4" t="inlineStr"/>
      <c r="I48" s="4" t="inlineStr">
        <is>
          <t>Candidature spontanée</t>
        </is>
      </c>
      <c r="J48" s="4" t="inlineStr">
        <is>
          <t>C</t>
        </is>
      </c>
      <c r="K48" s="5" t="inlineStr">
        <is>
          <t>À contacter</t>
        </is>
      </c>
      <c r="L48" s="6" t="inlineStr"/>
      <c r="M48" s="4" t="inlineStr">
        <is>
          <t>https://www.pagesjaunes.fr/pros/55055224</t>
        </is>
      </c>
    </row>
    <row r="49">
      <c r="A49" s="4" t="inlineStr">
        <is>
          <t>Boomerang Océan Indien</t>
        </is>
      </c>
      <c r="B49" s="4" t="inlineStr">
        <is>
          <t>Réunion</t>
        </is>
      </c>
      <c r="C49" s="4" t="inlineStr">
        <is>
          <t>Réseau d'insertion</t>
        </is>
      </c>
      <c r="D49" s="4" t="inlineStr">
        <is>
          <t>Confiance, stress, travail en équipe, codes de l'entreprise</t>
        </is>
      </c>
      <c r="E49" s="4" t="inlineStr"/>
      <c r="F49" s="4" t="inlineStr"/>
      <c r="G49" s="4" t="inlineStr"/>
      <c r="H49" s="4" t="inlineStr">
        <is>
          <t>https://boomerang-oi.fr/</t>
        </is>
      </c>
      <c r="I49" s="4" t="inlineStr">
        <is>
          <t>Insertion + soft skills ; votre casquette de référent handicap compte</t>
        </is>
      </c>
      <c r="J49" s="4" t="inlineStr">
        <is>
          <t>C</t>
        </is>
      </c>
      <c r="K49" s="5" t="inlineStr">
        <is>
          <t>À contacter</t>
        </is>
      </c>
      <c r="L49" s="6" t="inlineStr"/>
      <c r="M49" s="4" t="inlineStr">
        <is>
          <t>https://boomerang-oi.fr/</t>
        </is>
      </c>
    </row>
    <row r="50">
      <c r="A50" s="4" t="inlineStr">
        <is>
          <t>ERFP – École régionale de la formation professionnelle</t>
        </is>
      </c>
      <c r="B50" s="4" t="inlineStr">
        <is>
          <t>Réunion</t>
        </is>
      </c>
      <c r="C50" s="4" t="inlineStr">
        <is>
          <t>OF 974</t>
        </is>
      </c>
      <c r="D50" s="4" t="inlineStr">
        <is>
          <t>Apprentissage, formation continue</t>
        </is>
      </c>
      <c r="E50" s="4" t="inlineStr"/>
      <c r="F50" s="4" t="inlineStr"/>
      <c r="G50" s="4" t="inlineStr"/>
      <c r="H50" s="4" t="inlineStr"/>
      <c r="I50" s="4" t="inlineStr">
        <is>
          <t>Candidature spontanée</t>
        </is>
      </c>
      <c r="J50" s="4" t="inlineStr">
        <is>
          <t>C</t>
        </is>
      </c>
      <c r="K50" s="5" t="inlineStr">
        <is>
          <t>À contacter</t>
        </is>
      </c>
      <c r="L50" s="6" t="inlineStr"/>
      <c r="M50" s="4" t="inlineStr">
        <is>
          <t>https://www.pagesjaunes.fr/annuaire/saint-denis-974/organisme-de-formation</t>
        </is>
      </c>
    </row>
    <row r="51">
      <c r="A51" s="4" t="inlineStr">
        <is>
          <t>ISFOI</t>
        </is>
      </c>
      <c r="B51" s="4" t="inlineStr">
        <is>
          <t>Réunion</t>
        </is>
      </c>
      <c r="C51" s="4" t="inlineStr">
        <is>
          <t>OF 974</t>
        </is>
      </c>
      <c r="D51" s="4" t="inlineStr">
        <is>
          <t>Formation professionnelle</t>
        </is>
      </c>
      <c r="E51" s="4" t="inlineStr"/>
      <c r="F51" s="4" t="inlineStr"/>
      <c r="G51" s="4" t="inlineStr"/>
      <c r="H51" s="4" t="inlineStr"/>
      <c r="I51" s="4" t="inlineStr">
        <is>
          <t>Candidature spontanée</t>
        </is>
      </c>
      <c r="J51" s="4" t="inlineStr">
        <is>
          <t>C</t>
        </is>
      </c>
      <c r="K51" s="5" t="inlineStr">
        <is>
          <t>À contacter</t>
        </is>
      </c>
      <c r="L51" s="6" t="inlineStr"/>
      <c r="M51" s="4" t="inlineStr">
        <is>
          <t>Résultat de recherche Indeed</t>
        </is>
      </c>
    </row>
    <row r="52">
      <c r="A52" s="4" t="inlineStr">
        <is>
          <t>Inclus à Nous</t>
        </is>
      </c>
      <c r="B52" s="4" t="inlineStr">
        <is>
          <t>Réunion</t>
        </is>
      </c>
      <c r="C52" s="4" t="inlineStr">
        <is>
          <t>OF 974</t>
        </is>
      </c>
      <c r="D52" s="4" t="inlineStr">
        <is>
          <t>Soft skills en groupes</t>
        </is>
      </c>
      <c r="E52" s="4" t="inlineStr"/>
      <c r="F52" s="4" t="inlineStr"/>
      <c r="G52" s="4" t="inlineStr"/>
      <c r="H52" s="4" t="inlineStr">
        <is>
          <t>https://www.inclusanous.re/groupes.html</t>
        </is>
      </c>
      <c r="I52" s="4" t="inlineStr">
        <is>
          <t>Soft skills, groupes de 10-12 personnes</t>
        </is>
      </c>
      <c r="J52" s="4" t="inlineStr">
        <is>
          <t>C</t>
        </is>
      </c>
      <c r="K52" s="5" t="inlineStr">
        <is>
          <t>À contacter</t>
        </is>
      </c>
      <c r="L52" s="6" t="inlineStr"/>
      <c r="M52" s="4" t="inlineStr">
        <is>
          <t>https://www.inclusanous.re/groupes.html</t>
        </is>
      </c>
    </row>
    <row r="53">
      <c r="A53" s="4" t="inlineStr">
        <is>
          <t>Eximus Formation</t>
        </is>
      </c>
      <c r="B53" s="4" t="inlineStr">
        <is>
          <t>Réunion – Est</t>
        </is>
      </c>
      <c r="C53" s="4" t="inlineStr">
        <is>
          <t>OF 974 (Qualiopi)</t>
        </is>
      </c>
      <c r="D53" s="4" t="inlineStr">
        <is>
          <t>Formation continue</t>
        </is>
      </c>
      <c r="E53" s="4" t="inlineStr"/>
      <c r="F53" s="4" t="inlineStr"/>
      <c r="G53" s="4" t="inlineStr"/>
      <c r="H53" s="4" t="inlineStr"/>
      <c r="I53" s="4" t="inlineStr">
        <is>
          <t>Candidature spontanée</t>
        </is>
      </c>
      <c r="J53" s="4" t="inlineStr">
        <is>
          <t>C</t>
        </is>
      </c>
      <c r="K53" s="5" t="inlineStr">
        <is>
          <t>À contacter</t>
        </is>
      </c>
      <c r="L53" s="6" t="inlineStr"/>
      <c r="M53" s="4" t="inlineStr">
        <is>
          <t>https://www.pagesjaunes.fr/annuaire/saint-andre-974/formation-professionnelle</t>
        </is>
      </c>
    </row>
    <row r="54">
      <c r="A54" s="4" t="inlineStr">
        <is>
          <t>Cap Formation</t>
        </is>
      </c>
      <c r="B54" s="4" t="inlineStr">
        <is>
          <t>Réunion – Le Port</t>
        </is>
      </c>
      <c r="C54" s="4" t="inlineStr">
        <is>
          <t>OF 974 (Qualiopi)</t>
        </is>
      </c>
      <c r="D54" s="4" t="inlineStr">
        <is>
          <t>Formation continue</t>
        </is>
      </c>
      <c r="E54" s="4" t="inlineStr">
        <is>
          <t>4 rue François de Mahy, 97420 Le Port</t>
        </is>
      </c>
      <c r="F54" s="4" t="inlineStr"/>
      <c r="G54" s="4" t="inlineStr"/>
      <c r="H54" s="4" t="inlineStr">
        <is>
          <t>https://www.pagesjaunes.fr/pros/07769038</t>
        </is>
      </c>
      <c r="I54" s="4" t="inlineStr">
        <is>
          <t>Candidature spontanée</t>
        </is>
      </c>
      <c r="J54" s="4" t="inlineStr">
        <is>
          <t>C</t>
        </is>
      </c>
      <c r="K54" s="5" t="inlineStr">
        <is>
          <t>À contacter</t>
        </is>
      </c>
      <c r="L54" s="6" t="inlineStr"/>
      <c r="M54" s="4" t="inlineStr">
        <is>
          <t>https://www.pagesjaunes.fr/pros/07769038</t>
        </is>
      </c>
    </row>
    <row r="55">
      <c r="A55" s="4" t="inlineStr">
        <is>
          <t>ABC Formation Continue</t>
        </is>
      </c>
      <c r="B55" s="4" t="inlineStr">
        <is>
          <t>Réunion – Saint-Denis</t>
        </is>
      </c>
      <c r="C55" s="4" t="inlineStr">
        <is>
          <t>OF 974</t>
        </is>
      </c>
      <c r="D55" s="4" t="inlineStr">
        <is>
          <t>Formation continue</t>
        </is>
      </c>
      <c r="E55" s="4" t="inlineStr">
        <is>
          <t>Saint-Denis 97400</t>
        </is>
      </c>
      <c r="F55" s="4" t="inlineStr"/>
      <c r="G55" s="4" t="inlineStr"/>
      <c r="H55" s="4" t="inlineStr">
        <is>
          <t>https://www.maformation.fr/centres/marque_abc-formation-continue_ville_saint-denis-97400.html</t>
        </is>
      </c>
      <c r="I55" s="4" t="inlineStr">
        <is>
          <t>Candidature spontanée</t>
        </is>
      </c>
      <c r="J55" s="4" t="inlineStr">
        <is>
          <t>C</t>
        </is>
      </c>
      <c r="K55" s="5" t="inlineStr">
        <is>
          <t>À contacter</t>
        </is>
      </c>
      <c r="L55" s="6" t="inlineStr"/>
      <c r="M55" s="4" t="inlineStr">
        <is>
          <t>https://www.maformation.fr/centres/marque_abc-formation-continue_ville_saint-denis-97400.html</t>
        </is>
      </c>
    </row>
    <row r="56">
      <c r="A56" s="4" t="inlineStr">
        <is>
          <t>CFOR – Centre de formation Ouest Réunion</t>
        </is>
      </c>
      <c r="B56" s="4" t="inlineStr">
        <is>
          <t>Réunion – Saint-Paul</t>
        </is>
      </c>
      <c r="C56" s="4" t="inlineStr">
        <is>
          <t>OF 974 (Qualiopi)</t>
        </is>
      </c>
      <c r="D56" s="4" t="inlineStr">
        <is>
          <t>Présentiel et distanciel</t>
        </is>
      </c>
      <c r="E56" s="4" t="inlineStr">
        <is>
          <t>11 rue Hôpital, 97460 Saint-Paul</t>
        </is>
      </c>
      <c r="F56" s="4" t="inlineStr"/>
      <c r="G56" s="4" t="inlineStr"/>
      <c r="H56" s="4" t="inlineStr"/>
      <c r="I56" s="4" t="inlineStr">
        <is>
          <t>Candidature spontanée</t>
        </is>
      </c>
      <c r="J56" s="4" t="inlineStr">
        <is>
          <t>C</t>
        </is>
      </c>
      <c r="K56" s="5" t="inlineStr">
        <is>
          <t>À contacter</t>
        </is>
      </c>
      <c r="L56" s="6" t="inlineStr"/>
      <c r="M56" s="4" t="inlineStr">
        <is>
          <t>https://www.pagesjaunes.fr/annuaire/saint-paul-974/formation-professionnelle</t>
        </is>
      </c>
    </row>
    <row r="57">
      <c r="A57" s="4" t="inlineStr">
        <is>
          <t>Arena Run</t>
        </is>
      </c>
      <c r="B57" s="4" t="inlineStr">
        <is>
          <t>Réunion – Saint-Pierre</t>
        </is>
      </c>
      <c r="C57" s="4" t="inlineStr">
        <is>
          <t>OF 974</t>
        </is>
      </c>
      <c r="D57" s="4" t="inlineStr">
        <is>
          <t>Formation continue</t>
        </is>
      </c>
      <c r="E57" s="4" t="inlineStr">
        <is>
          <t>132 rue Victor le Vigoureux, 97410 Saint-Pierre</t>
        </is>
      </c>
      <c r="F57" s="4" t="inlineStr"/>
      <c r="G57" s="4" t="inlineStr"/>
      <c r="H57" s="4" t="inlineStr"/>
      <c r="I57" s="4" t="inlineStr">
        <is>
          <t>Candidature spontanée</t>
        </is>
      </c>
      <c r="J57" s="4" t="inlineStr">
        <is>
          <t>C</t>
        </is>
      </c>
      <c r="K57" s="5" t="inlineStr">
        <is>
          <t>À contacter</t>
        </is>
      </c>
      <c r="L57" s="6" t="inlineStr"/>
      <c r="M57" s="4" t="inlineStr">
        <is>
          <t>https://fr.mappy.com/poi/589bb27b0351d167ec4d43a6</t>
        </is>
      </c>
    </row>
    <row r="58">
      <c r="A58" s="4" t="inlineStr">
        <is>
          <t>FRIC Formation</t>
        </is>
      </c>
      <c r="B58" s="4" t="inlineStr">
        <is>
          <t>Réunion – Saint-Pierre</t>
        </is>
      </c>
      <c r="C58" s="4" t="inlineStr">
        <is>
          <t>OF 974 (Qualiopi)</t>
        </is>
      </c>
      <c r="D58" s="4" t="inlineStr">
        <is>
          <t>Formation continue</t>
        </is>
      </c>
      <c r="E58" s="4" t="inlineStr">
        <is>
          <t>70 rue Suffren, 97410 Saint-Pierre</t>
        </is>
      </c>
      <c r="F58" s="4" t="inlineStr">
        <is>
          <t>06 93 20 69 00</t>
        </is>
      </c>
      <c r="G58" s="4" t="inlineStr"/>
      <c r="H58" s="4" t="inlineStr"/>
      <c r="I58" s="4" t="inlineStr">
        <is>
          <t>Candidature spontanée</t>
        </is>
      </c>
      <c r="J58" s="4" t="inlineStr">
        <is>
          <t>C</t>
        </is>
      </c>
      <c r="K58" s="5" t="inlineStr">
        <is>
          <t>À contacter</t>
        </is>
      </c>
      <c r="L58" s="6" t="inlineStr"/>
      <c r="M58" s="4" t="inlineStr">
        <is>
          <t>https://www.pagesjaunes.fr/annuaire/saint-pierre-974/formation-professionnelle</t>
        </is>
      </c>
    </row>
    <row r="59">
      <c r="A59" s="4" t="inlineStr">
        <is>
          <t>Réussir SARL</t>
        </is>
      </c>
      <c r="B59" s="4" t="inlineStr">
        <is>
          <t>Réunion – Saint-Pierre</t>
        </is>
      </c>
      <c r="C59" s="4" t="inlineStr">
        <is>
          <t>OF 974</t>
        </is>
      </c>
      <c r="D59" s="4" t="inlineStr">
        <is>
          <t>Formation continue</t>
        </is>
      </c>
      <c r="E59" s="4" t="inlineStr">
        <is>
          <t>10 bis chemin Maxime Rivière, 97410 Saint-Pierre</t>
        </is>
      </c>
      <c r="F59" s="4" t="inlineStr"/>
      <c r="G59" s="4" t="inlineStr"/>
      <c r="H59" s="4" t="inlineStr"/>
      <c r="I59" s="4" t="inlineStr">
        <is>
          <t>Candidature spontanée</t>
        </is>
      </c>
      <c r="J59" s="4" t="inlineStr">
        <is>
          <t>C</t>
        </is>
      </c>
      <c r="K59" s="5" t="inlineStr">
        <is>
          <t>À contacter</t>
        </is>
      </c>
      <c r="L59" s="6" t="inlineStr"/>
      <c r="M59" s="4" t="inlineStr">
        <is>
          <t>https://fr.mappy.com/poi/589c0f910351d167ec4d6a74</t>
        </is>
      </c>
    </row>
    <row r="60">
      <c r="A60" s="4" t="inlineStr">
        <is>
          <t>SARL CAP'R HQS</t>
        </is>
      </c>
      <c r="B60" s="4" t="inlineStr">
        <is>
          <t>Réunion – Saint-Pierre</t>
        </is>
      </c>
      <c r="C60" s="4" t="inlineStr">
        <is>
          <t>OF 974 (Qualiopi)</t>
        </is>
      </c>
      <c r="D60" s="4" t="inlineStr">
        <is>
          <t>Formation continue</t>
        </is>
      </c>
      <c r="E60" s="4" t="inlineStr">
        <is>
          <t>43B rue du Presbytère, 97410 Saint-Pierre</t>
        </is>
      </c>
      <c r="F60" s="4" t="inlineStr">
        <is>
          <t>06 92 17 50 02</t>
        </is>
      </c>
      <c r="G60" s="4" t="inlineStr"/>
      <c r="H60" s="4" t="inlineStr"/>
      <c r="I60" s="4" t="inlineStr">
        <is>
          <t>Candidature spontanée</t>
        </is>
      </c>
      <c r="J60" s="4" t="inlineStr">
        <is>
          <t>C</t>
        </is>
      </c>
      <c r="K60" s="5" t="inlineStr">
        <is>
          <t>À contacter</t>
        </is>
      </c>
      <c r="L60" s="6" t="inlineStr"/>
      <c r="M60" s="4" t="inlineStr">
        <is>
          <t>https://www.pagesjaunes.fr/annuaire/saint-pierre-974/formation-professionnelle</t>
        </is>
      </c>
    </row>
  </sheetData>
  <autoFilter ref="A1:M60"/>
  <dataValidations count="1">
    <dataValidation sqref="K2:K60" showDropDown="0" showInputMessage="0" showErrorMessage="0" allowBlank="1" type="list">
      <formula1>"À contacter,Candidature envoyée,En discussion,Référencé,Mission obtenue,Sans suite"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5" customWidth="1" min="3" max="3"/>
    <col width="15" customWidth="1" min="4" max="4"/>
    <col width="12" customWidth="1" min="5" max="5"/>
    <col width="8" customWidth="1" min="6" max="6"/>
    <col width="9" customWidth="1" min="7" max="7"/>
    <col width="13" customWidth="1" min="8" max="8"/>
  </cols>
  <sheetData>
    <row r="1">
      <c r="A1" s="7" t="inlineStr">
        <is>
          <t>Tableau de bord prospection (se met à jour quand vous changez les statuts)</t>
        </is>
      </c>
    </row>
    <row r="3">
      <c r="A3" s="8" t="inlineStr">
        <is>
          <t>Secteur</t>
        </is>
      </c>
      <c r="B3" s="8" t="inlineStr">
        <is>
          <t>Priorité</t>
        </is>
      </c>
      <c r="C3" s="8" t="inlineStr">
        <is>
          <t>Nb entreprises</t>
        </is>
      </c>
      <c r="D3" s="8" t="inlineStr">
        <is>
          <t>Avec téléphone</t>
        </is>
      </c>
      <c r="E3" s="8" t="inlineStr">
        <is>
          <t>Contactés</t>
        </is>
      </c>
      <c r="F3" s="8" t="inlineStr">
        <is>
          <t>RDV</t>
        </is>
      </c>
      <c r="G3" s="8" t="inlineStr">
        <is>
          <t>Clients</t>
        </is>
      </c>
      <c r="H3" s="8" t="inlineStr">
        <is>
          <t>Oppositions</t>
        </is>
      </c>
    </row>
    <row r="4">
      <c r="A4" s="9" t="inlineStr">
        <is>
          <t>Cabinets d'avocats</t>
        </is>
      </c>
      <c r="B4" s="9" t="n">
        <v>1</v>
      </c>
      <c r="C4" s="9">
        <f>COUNTIF('Prospects 974'!$C$2:$C$107,A4)</f>
        <v/>
      </c>
      <c r="D4" s="9">
        <f>COUNTIFS('Prospects 974'!$C$2:$C$107,A4,'Prospects 974'!$G$2:$G$107,"&lt;&gt;")</f>
        <v/>
      </c>
      <c r="E4" s="9">
        <f>COUNTIFS('Prospects 974'!$C$2:$C$107,A4,'Prospects 974'!$L$2:$L$107,"Contacté")+G4+F4+COUNTIFS('Prospects 974'!$C$2:$C$107,A4,'Prospects 974'!$L$2:$L$107,"Proposition")</f>
        <v/>
      </c>
      <c r="F4" s="9">
        <f>COUNTIFS('Prospects 974'!$C$2:$C$107,A4,'Prospects 974'!$L$2:$L$107,"RDV")</f>
        <v/>
      </c>
      <c r="G4" s="9">
        <f>COUNTIFS('Prospects 974'!$C$2:$C$107,A4,'Prospects 974'!$L$2:$L$107,"Client")</f>
        <v/>
      </c>
      <c r="H4" s="9">
        <f>COUNTIFS('Prospects 974'!$C$2:$C$107,A4,'Prospects 974'!$L$2:$L$107,"Opposition RGPD")</f>
        <v/>
      </c>
    </row>
    <row r="5">
      <c r="A5" s="9" t="inlineStr">
        <is>
          <t>Courtage &amp; assurance</t>
        </is>
      </c>
      <c r="B5" s="9" t="n">
        <v>1</v>
      </c>
      <c r="C5" s="9">
        <f>COUNTIF('Prospects 974'!$C$2:$C$107,A5)</f>
        <v/>
      </c>
      <c r="D5" s="9">
        <f>COUNTIFS('Prospects 974'!$C$2:$C$107,A5,'Prospects 974'!$G$2:$G$107,"&lt;&gt;")</f>
        <v/>
      </c>
      <c r="E5" s="9">
        <f>COUNTIFS('Prospects 974'!$C$2:$C$107,A5,'Prospects 974'!$L$2:$L$107,"Contacté")+G5+F5+COUNTIFS('Prospects 974'!$C$2:$C$107,A5,'Prospects 974'!$L$2:$L$107,"Proposition")</f>
        <v/>
      </c>
      <c r="F5" s="9">
        <f>COUNTIFS('Prospects 974'!$C$2:$C$107,A5,'Prospects 974'!$L$2:$L$107,"RDV")</f>
        <v/>
      </c>
      <c r="G5" s="9">
        <f>COUNTIFS('Prospects 974'!$C$2:$C$107,A5,'Prospects 974'!$L$2:$L$107,"Client")</f>
        <v/>
      </c>
      <c r="H5" s="9">
        <f>COUNTIFS('Prospects 974'!$C$2:$C$107,A5,'Prospects 974'!$L$2:$L$107,"Opposition RGPD")</f>
        <v/>
      </c>
    </row>
    <row r="6">
      <c r="A6" s="9" t="inlineStr">
        <is>
          <t>Expertise comptable</t>
        </is>
      </c>
      <c r="B6" s="9" t="n">
        <v>1</v>
      </c>
      <c r="C6" s="9">
        <f>COUNTIF('Prospects 974'!$C$2:$C$107,A6)</f>
        <v/>
      </c>
      <c r="D6" s="9">
        <f>COUNTIFS('Prospects 974'!$C$2:$C$107,A6,'Prospects 974'!$G$2:$G$107,"&lt;&gt;")</f>
        <v/>
      </c>
      <c r="E6" s="9">
        <f>COUNTIFS('Prospects 974'!$C$2:$C$107,A6,'Prospects 974'!$L$2:$L$107,"Contacté")+G6+F6+COUNTIFS('Prospects 974'!$C$2:$C$107,A6,'Prospects 974'!$L$2:$L$107,"Proposition")</f>
        <v/>
      </c>
      <c r="F6" s="9">
        <f>COUNTIFS('Prospects 974'!$C$2:$C$107,A6,'Prospects 974'!$L$2:$L$107,"RDV")</f>
        <v/>
      </c>
      <c r="G6" s="9">
        <f>COUNTIFS('Prospects 974'!$C$2:$C$107,A6,'Prospects 974'!$L$2:$L$107,"Client")</f>
        <v/>
      </c>
      <c r="H6" s="9">
        <f>COUNTIFS('Prospects 974'!$C$2:$C$107,A6,'Prospects 974'!$L$2:$L$107,"Opposition RGPD")</f>
        <v/>
      </c>
    </row>
    <row r="7">
      <c r="A7" s="9" t="inlineStr">
        <is>
          <t>Immobilier</t>
        </is>
      </c>
      <c r="B7" s="9" t="n">
        <v>1</v>
      </c>
      <c r="C7" s="9">
        <f>COUNTIF('Prospects 974'!$C$2:$C$107,A7)</f>
        <v/>
      </c>
      <c r="D7" s="9">
        <f>COUNTIFS('Prospects 974'!$C$2:$C$107,A7,'Prospects 974'!$G$2:$G$107,"&lt;&gt;")</f>
        <v/>
      </c>
      <c r="E7" s="9">
        <f>COUNTIFS('Prospects 974'!$C$2:$C$107,A7,'Prospects 974'!$L$2:$L$107,"Contacté")+G7+F7+COUNTIFS('Prospects 974'!$C$2:$C$107,A7,'Prospects 974'!$L$2:$L$107,"Proposition")</f>
        <v/>
      </c>
      <c r="F7" s="9">
        <f>COUNTIFS('Prospects 974'!$C$2:$C$107,A7,'Prospects 974'!$L$2:$L$107,"RDV")</f>
        <v/>
      </c>
      <c r="G7" s="9">
        <f>COUNTIFS('Prospects 974'!$C$2:$C$107,A7,'Prospects 974'!$L$2:$L$107,"Client")</f>
        <v/>
      </c>
      <c r="H7" s="9">
        <f>COUNTIFS('Prospects 974'!$C$2:$C$107,A7,'Prospects 974'!$L$2:$L$107,"Opposition RGPD")</f>
        <v/>
      </c>
    </row>
    <row r="8">
      <c r="A8" s="9" t="inlineStr">
        <is>
          <t>Notariat</t>
        </is>
      </c>
      <c r="B8" s="9" t="n">
        <v>1</v>
      </c>
      <c r="C8" s="9">
        <f>COUNTIF('Prospects 974'!$C$2:$C$107,A8)</f>
        <v/>
      </c>
      <c r="D8" s="9">
        <f>COUNTIFS('Prospects 974'!$C$2:$C$107,A8,'Prospects 974'!$G$2:$G$107,"&lt;&gt;")</f>
        <v/>
      </c>
      <c r="E8" s="9">
        <f>COUNTIFS('Prospects 974'!$C$2:$C$107,A8,'Prospects 974'!$L$2:$L$107,"Contacté")+G8+F8+COUNTIFS('Prospects 974'!$C$2:$C$107,A8,'Prospects 974'!$L$2:$L$107,"Proposition")</f>
        <v/>
      </c>
      <c r="F8" s="9">
        <f>COUNTIFS('Prospects 974'!$C$2:$C$107,A8,'Prospects 974'!$L$2:$L$107,"RDV")</f>
        <v/>
      </c>
      <c r="G8" s="9">
        <f>COUNTIFS('Prospects 974'!$C$2:$C$107,A8,'Prospects 974'!$L$2:$L$107,"Client")</f>
        <v/>
      </c>
      <c r="H8" s="9">
        <f>COUNTIFS('Prospects 974'!$C$2:$C$107,A8,'Prospects 974'!$L$2:$L$107,"Opposition RGPD")</f>
        <v/>
      </c>
    </row>
    <row r="9">
      <c r="A9" s="9" t="inlineStr">
        <is>
          <t>Commerce de gros</t>
        </is>
      </c>
      <c r="B9" s="9" t="n">
        <v>2</v>
      </c>
      <c r="C9" s="9">
        <f>COUNTIF('Prospects 974'!$C$2:$C$107,A9)</f>
        <v/>
      </c>
      <c r="D9" s="9">
        <f>COUNTIFS('Prospects 974'!$C$2:$C$107,A9,'Prospects 974'!$G$2:$G$107,"&lt;&gt;")</f>
        <v/>
      </c>
      <c r="E9" s="9">
        <f>COUNTIFS('Prospects 974'!$C$2:$C$107,A9,'Prospects 974'!$L$2:$L$107,"Contacté")+G9+F9+COUNTIFS('Prospects 974'!$C$2:$C$107,A9,'Prospects 974'!$L$2:$L$107,"Proposition")</f>
        <v/>
      </c>
      <c r="F9" s="9">
        <f>COUNTIFS('Prospects 974'!$C$2:$C$107,A9,'Prospects 974'!$L$2:$L$107,"RDV")</f>
        <v/>
      </c>
      <c r="G9" s="9">
        <f>COUNTIFS('Prospects 974'!$C$2:$C$107,A9,'Prospects 974'!$L$2:$L$107,"Client")</f>
        <v/>
      </c>
      <c r="H9" s="9">
        <f>COUNTIFS('Prospects 974'!$C$2:$C$107,A9,'Prospects 974'!$L$2:$L$107,"Opposition RGPD")</f>
        <v/>
      </c>
    </row>
    <row r="10">
      <c r="A10" s="9" t="inlineStr">
        <is>
          <t>Informatique / ESN</t>
        </is>
      </c>
      <c r="B10" s="9" t="n">
        <v>2</v>
      </c>
      <c r="C10" s="9">
        <f>COUNTIF('Prospects 974'!$C$2:$C$107,A10)</f>
        <v/>
      </c>
      <c r="D10" s="9">
        <f>COUNTIFS('Prospects 974'!$C$2:$C$107,A10,'Prospects 974'!$G$2:$G$107,"&lt;&gt;")</f>
        <v/>
      </c>
      <c r="E10" s="9">
        <f>COUNTIFS('Prospects 974'!$C$2:$C$107,A10,'Prospects 974'!$L$2:$L$107,"Contacté")+G10+F10+COUNTIFS('Prospects 974'!$C$2:$C$107,A10,'Prospects 974'!$L$2:$L$107,"Proposition")</f>
        <v/>
      </c>
      <c r="F10" s="9">
        <f>COUNTIFS('Prospects 974'!$C$2:$C$107,A10,'Prospects 974'!$L$2:$L$107,"RDV")</f>
        <v/>
      </c>
      <c r="G10" s="9">
        <f>COUNTIFS('Prospects 974'!$C$2:$C$107,A10,'Prospects 974'!$L$2:$L$107,"Client")</f>
        <v/>
      </c>
      <c r="H10" s="9">
        <f>COUNTIFS('Prospects 974'!$C$2:$C$107,A10,'Prospects 974'!$L$2:$L$107,"Opposition RGPD")</f>
        <v/>
      </c>
    </row>
    <row r="11">
      <c r="A11" s="9" t="inlineStr">
        <is>
          <t>Intérim &amp; recrutement</t>
        </is>
      </c>
      <c r="B11" s="9" t="n">
        <v>2</v>
      </c>
      <c r="C11" s="9">
        <f>COUNTIF('Prospects 974'!$C$2:$C$107,A11)</f>
        <v/>
      </c>
      <c r="D11" s="9">
        <f>COUNTIFS('Prospects 974'!$C$2:$C$107,A11,'Prospects 974'!$G$2:$G$107,"&lt;&gt;")</f>
        <v/>
      </c>
      <c r="E11" s="9">
        <f>COUNTIFS('Prospects 974'!$C$2:$C$107,A11,'Prospects 974'!$L$2:$L$107,"Contacté")+G11+F11+COUNTIFS('Prospects 974'!$C$2:$C$107,A11,'Prospects 974'!$L$2:$L$107,"Proposition")</f>
        <v/>
      </c>
      <c r="F11" s="9">
        <f>COUNTIFS('Prospects 974'!$C$2:$C$107,A11,'Prospects 974'!$L$2:$L$107,"RDV")</f>
        <v/>
      </c>
      <c r="G11" s="9">
        <f>COUNTIFS('Prospects 974'!$C$2:$C$107,A11,'Prospects 974'!$L$2:$L$107,"Client")</f>
        <v/>
      </c>
      <c r="H11" s="9">
        <f>COUNTIFS('Prospects 974'!$C$2:$C$107,A11,'Prospects 974'!$L$2:$L$107,"Opposition RGPD")</f>
        <v/>
      </c>
    </row>
    <row r="12">
      <c r="A12" s="9" t="inlineStr">
        <is>
          <t>Transport &amp; logistique</t>
        </is>
      </c>
      <c r="B12" s="9" t="n">
        <v>2</v>
      </c>
      <c r="C12" s="9">
        <f>COUNTIF('Prospects 974'!$C$2:$C$107,A12)</f>
        <v/>
      </c>
      <c r="D12" s="9">
        <f>COUNTIFS('Prospects 974'!$C$2:$C$107,A12,'Prospects 974'!$G$2:$G$107,"&lt;&gt;")</f>
        <v/>
      </c>
      <c r="E12" s="9">
        <f>COUNTIFS('Prospects 974'!$C$2:$C$107,A12,'Prospects 974'!$L$2:$L$107,"Contacté")+G12+F12+COUNTIFS('Prospects 974'!$C$2:$C$107,A12,'Prospects 974'!$L$2:$L$107,"Proposition")</f>
        <v/>
      </c>
      <c r="F12" s="9">
        <f>COUNTIFS('Prospects 974'!$C$2:$C$107,A12,'Prospects 974'!$L$2:$L$107,"RDV")</f>
        <v/>
      </c>
      <c r="G12" s="9">
        <f>COUNTIFS('Prospects 974'!$C$2:$C$107,A12,'Prospects 974'!$L$2:$L$107,"Client")</f>
        <v/>
      </c>
      <c r="H12" s="9">
        <f>COUNTIFS('Prospects 974'!$C$2:$C$107,A12,'Prospects 974'!$L$2:$L$107,"Opposition RGPD")</f>
        <v/>
      </c>
    </row>
    <row r="13">
      <c r="A13" s="9" t="inlineStr">
        <is>
          <t>Agences de voyages</t>
        </is>
      </c>
      <c r="B13" s="9" t="n">
        <v>3</v>
      </c>
      <c r="C13" s="9">
        <f>COUNTIF('Prospects 974'!$C$2:$C$107,A13)</f>
        <v/>
      </c>
      <c r="D13" s="9">
        <f>COUNTIFS('Prospects 974'!$C$2:$C$107,A13,'Prospects 974'!$G$2:$G$107,"&lt;&gt;")</f>
        <v/>
      </c>
      <c r="E13" s="9">
        <f>COUNTIFS('Prospects 974'!$C$2:$C$107,A13,'Prospects 974'!$L$2:$L$107,"Contacté")+G13+F13+COUNTIFS('Prospects 974'!$C$2:$C$107,A13,'Prospects 974'!$L$2:$L$107,"Proposition")</f>
        <v/>
      </c>
      <c r="F13" s="9">
        <f>COUNTIFS('Prospects 974'!$C$2:$C$107,A13,'Prospects 974'!$L$2:$L$107,"RDV")</f>
        <v/>
      </c>
      <c r="G13" s="9">
        <f>COUNTIFS('Prospects 974'!$C$2:$C$107,A13,'Prospects 974'!$L$2:$L$107,"Client")</f>
        <v/>
      </c>
      <c r="H13" s="9">
        <f>COUNTIFS('Prospects 974'!$C$2:$C$107,A13,'Prospects 974'!$L$2:$L$107,"Opposition RGPD")</f>
        <v/>
      </c>
    </row>
    <row r="14">
      <c r="A14" s="9" t="inlineStr">
        <is>
          <t>Automobile</t>
        </is>
      </c>
      <c r="B14" s="9" t="n">
        <v>3</v>
      </c>
      <c r="C14" s="9">
        <f>COUNTIF('Prospects 974'!$C$2:$C$107,A14)</f>
        <v/>
      </c>
      <c r="D14" s="9">
        <f>COUNTIFS('Prospects 974'!$C$2:$C$107,A14,'Prospects 974'!$G$2:$G$107,"&lt;&gt;")</f>
        <v/>
      </c>
      <c r="E14" s="9">
        <f>COUNTIFS('Prospects 974'!$C$2:$C$107,A14,'Prospects 974'!$L$2:$L$107,"Contacté")+G14+F14+COUNTIFS('Prospects 974'!$C$2:$C$107,A14,'Prospects 974'!$L$2:$L$107,"Proposition")</f>
        <v/>
      </c>
      <c r="F14" s="9">
        <f>COUNTIFS('Prospects 974'!$C$2:$C$107,A14,'Prospects 974'!$L$2:$L$107,"RDV")</f>
        <v/>
      </c>
      <c r="G14" s="9">
        <f>COUNTIFS('Prospects 974'!$C$2:$C$107,A14,'Prospects 974'!$L$2:$L$107,"Client")</f>
        <v/>
      </c>
      <c r="H14" s="9">
        <f>COUNTIFS('Prospects 974'!$C$2:$C$107,A14,'Prospects 974'!$L$2:$L$107,"Opposition RGPD")</f>
        <v/>
      </c>
    </row>
    <row r="15">
      <c r="A15" s="9" t="inlineStr">
        <is>
          <t>Hôtellerie</t>
        </is>
      </c>
      <c r="B15" s="9" t="n">
        <v>3</v>
      </c>
      <c r="C15" s="9">
        <f>COUNTIF('Prospects 974'!$C$2:$C$107,A15)</f>
        <v/>
      </c>
      <c r="D15" s="9">
        <f>COUNTIFS('Prospects 974'!$C$2:$C$107,A15,'Prospects 974'!$G$2:$G$107,"&lt;&gt;")</f>
        <v/>
      </c>
      <c r="E15" s="9">
        <f>COUNTIFS('Prospects 974'!$C$2:$C$107,A15,'Prospects 974'!$L$2:$L$107,"Contacté")+G15+F15+COUNTIFS('Prospects 974'!$C$2:$C$107,A15,'Prospects 974'!$L$2:$L$107,"Proposition")</f>
        <v/>
      </c>
      <c r="F15" s="9">
        <f>COUNTIFS('Prospects 974'!$C$2:$C$107,A15,'Prospects 974'!$L$2:$L$107,"RDV")</f>
        <v/>
      </c>
      <c r="G15" s="9">
        <f>COUNTIFS('Prospects 974'!$C$2:$C$107,A15,'Prospects 974'!$L$2:$L$107,"Client")</f>
        <v/>
      </c>
      <c r="H15" s="9">
        <f>COUNTIFS('Prospects 974'!$C$2:$C$107,A15,'Prospects 974'!$L$2:$L$107,"Opposition RGPD")</f>
        <v/>
      </c>
    </row>
    <row r="16">
      <c r="A16" s="9" t="inlineStr">
        <is>
          <t>Agroalimentaire</t>
        </is>
      </c>
      <c r="B16" s="9" t="n">
        <v>4</v>
      </c>
      <c r="C16" s="9">
        <f>COUNTIF('Prospects 974'!$C$2:$C$107,A16)</f>
        <v/>
      </c>
      <c r="D16" s="9">
        <f>COUNTIFS('Prospects 974'!$C$2:$C$107,A16,'Prospects 974'!$G$2:$G$107,"&lt;&gt;")</f>
        <v/>
      </c>
      <c r="E16" s="9">
        <f>COUNTIFS('Prospects 974'!$C$2:$C$107,A16,'Prospects 974'!$L$2:$L$107,"Contacté")+G16+F16+COUNTIFS('Prospects 974'!$C$2:$C$107,A16,'Prospects 974'!$L$2:$L$107,"Proposition")</f>
        <v/>
      </c>
      <c r="F16" s="9">
        <f>COUNTIFS('Prospects 974'!$C$2:$C$107,A16,'Prospects 974'!$L$2:$L$107,"RDV")</f>
        <v/>
      </c>
      <c r="G16" s="9">
        <f>COUNTIFS('Prospects 974'!$C$2:$C$107,A16,'Prospects 974'!$L$2:$L$107,"Client")</f>
        <v/>
      </c>
      <c r="H16" s="9">
        <f>COUNTIFS('Prospects 974'!$C$2:$C$107,A16,'Prospects 974'!$L$2:$L$107,"Opposition RGPD")</f>
        <v/>
      </c>
    </row>
    <row r="17">
      <c r="A17" s="9" t="inlineStr">
        <is>
          <t>BTP</t>
        </is>
      </c>
      <c r="B17" s="9" t="n">
        <v>4</v>
      </c>
      <c r="C17" s="9">
        <f>COUNTIF('Prospects 974'!$C$2:$C$107,A17)</f>
        <v/>
      </c>
      <c r="D17" s="9">
        <f>COUNTIFS('Prospects 974'!$C$2:$C$107,A17,'Prospects 974'!$G$2:$G$107,"&lt;&gt;")</f>
        <v/>
      </c>
      <c r="E17" s="9">
        <f>COUNTIFS('Prospects 974'!$C$2:$C$107,A17,'Prospects 974'!$L$2:$L$107,"Contacté")+G17+F17+COUNTIFS('Prospects 974'!$C$2:$C$107,A17,'Prospects 974'!$L$2:$L$107,"Proposition")</f>
        <v/>
      </c>
      <c r="F17" s="9">
        <f>COUNTIFS('Prospects 974'!$C$2:$C$107,A17,'Prospects 974'!$L$2:$L$107,"RDV")</f>
        <v/>
      </c>
      <c r="G17" s="9">
        <f>COUNTIFS('Prospects 974'!$C$2:$C$107,A17,'Prospects 974'!$L$2:$L$107,"Client")</f>
        <v/>
      </c>
      <c r="H17" s="9">
        <f>COUNTIFS('Prospects 974'!$C$2:$C$107,A17,'Prospects 974'!$L$2:$L$107,"Opposition RGPD")</f>
        <v/>
      </c>
    </row>
    <row r="18">
      <c r="A18" s="10" t="inlineStr">
        <is>
          <t>TOTAL</t>
        </is>
      </c>
      <c r="B18" s="10" t="inlineStr"/>
      <c r="C18" s="10">
        <f>SUM(C4:C17)</f>
        <v/>
      </c>
      <c r="D18" s="10">
        <f>SUM(D4:D17)</f>
        <v/>
      </c>
      <c r="E18" s="10">
        <f>SUM(E4:E17)</f>
        <v/>
      </c>
      <c r="F18" s="10">
        <f>SUM(F4:F17)</f>
        <v/>
      </c>
      <c r="G18" s="10">
        <f>SUM(G4:G17)</f>
        <v/>
      </c>
      <c r="H18" s="10">
        <f>SUM(H4:H17)</f>
        <v/>
      </c>
    </row>
    <row r="20">
      <c r="A20" s="11" t="inlineStr">
        <is>
          <t>« Contactés » = Contacté + Proposition + RDV + Client (toute entreprise déjà touchée).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2026-10-05T07:43:21Z</dcterms:created>
  <dcterms:modified xsi:type="dcterms:W3CDTF">2026-10-05T07:43:21Z</dcterms:modified>
</cp:coreProperties>
</file>