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rier annuel" sheetId="1" state="visible" r:id="rId1"/>
    <sheet xmlns:r="http://schemas.openxmlformats.org/officeDocument/2006/relationships" name="Heures MEM" sheetId="2" state="visible" r:id="rId2"/>
    <sheet xmlns:r="http://schemas.openxmlformats.org/officeDocument/2006/relationships" name="Heures RPMS" sheetId="3" state="visible" r:id="rId3"/>
    <sheet xmlns:r="http://schemas.openxmlformats.org/officeDocument/2006/relationships" name="Indicateurs session" sheetId="4" state="visible" r:id="rId4"/>
    <sheet xmlns:r="http://schemas.openxmlformats.org/officeDocument/2006/relationships" name="Suivi abs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2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9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Période</t>
        </is>
      </c>
      <c r="B1" s="1" t="inlineStr">
        <is>
          <t>Action</t>
        </is>
      </c>
      <c r="C1" s="1" t="inlineStr">
        <is>
          <t>Responsable</t>
        </is>
      </c>
      <c r="D1" s="1" t="inlineStr">
        <is>
          <t>Fait le</t>
        </is>
      </c>
      <c r="E1" s="1" t="inlineStr">
        <is>
          <t>Preuve (lien)</t>
        </is>
      </c>
    </row>
    <row r="2">
      <c r="A2" s="2" t="inlineStr">
        <is>
          <t>Janvier</t>
        </is>
      </c>
      <c r="B2" s="2" t="inlineStr">
        <is>
          <t>Mettre à jour les indicateurs de résultats publiés (année N-1) ; programme annuel des sessions ; veille appels d'offres Région</t>
        </is>
      </c>
      <c r="C2" s="2" t="inlineStr">
        <is>
          <t>Aurélien LUMEKA</t>
        </is>
      </c>
      <c r="D2" s="2" t="inlineStr"/>
      <c r="E2" s="2" t="inlineStr"/>
    </row>
    <row r="3">
      <c r="A3" s="2" t="inlineStr">
        <is>
          <t>Février</t>
        </is>
      </c>
      <c r="B3" s="2" t="inlineStr">
        <is>
          <t>Préparer le BPF (données N-1 : heures-stagiaires, produits par financeur) ; revue annuelle des réclamations</t>
        </is>
      </c>
      <c r="C3" s="2" t="inlineStr">
        <is>
          <t>Aurélien LUMEKA</t>
        </is>
      </c>
      <c r="D3" s="2" t="inlineStr"/>
      <c r="E3" s="2" t="inlineStr"/>
    </row>
    <row r="4">
      <c r="A4" s="2" t="inlineStr">
        <is>
          <t>Mars</t>
        </is>
      </c>
      <c r="B4" s="2" t="inlineStr">
        <is>
          <t>Renouveler l'attestation de vigilance URSSAF (semestrielle) ; plan de formation interne (maîtrise de l'IA, art. 4 IA Act)</t>
        </is>
      </c>
      <c r="C4" s="2" t="inlineStr">
        <is>
          <t>Aurélien LUMEKA</t>
        </is>
      </c>
      <c r="D4" s="2" t="inlineStr"/>
      <c r="E4" s="2" t="inlineStr"/>
    </row>
    <row r="5">
      <c r="A5" s="2" t="inlineStr">
        <is>
          <t>Avril</t>
        </is>
      </c>
      <c r="B5" s="2" t="inlineStr">
        <is>
          <t>Revue annuelle du registre RGPD et des sous-traitants ; purge des données dont la durée de conservation est échue</t>
        </is>
      </c>
      <c r="C5" s="2" t="inlineStr">
        <is>
          <t>Aurélien LUMEKA</t>
        </is>
      </c>
      <c r="D5" s="2" t="inlineStr"/>
      <c r="E5" s="2" t="inlineStr"/>
    </row>
    <row r="6">
      <c r="A6" s="2" t="inlineStr">
        <is>
          <t>Mai</t>
        </is>
      </c>
      <c r="B6" s="2" t="inlineStr">
        <is>
          <t>Déposer le BPF avant le 31 mai sur Mon Activité Formation</t>
        </is>
      </c>
      <c r="C6" s="2" t="inlineStr">
        <is>
          <t>Aurélien LUMEKA</t>
        </is>
      </c>
      <c r="D6" s="2" t="inlineStr"/>
      <c r="E6" s="2" t="inlineStr"/>
    </row>
    <row r="7">
      <c r="A7" s="2" t="inlineStr">
        <is>
          <t>Juin</t>
        </is>
      </c>
      <c r="B7" s="2" t="inlineStr">
        <is>
          <t>Bilan qualité de mi-année ; mise à jour des programmes (veille RNCP : versions des titres, dates d'échéance)</t>
        </is>
      </c>
      <c r="C7" s="2" t="inlineStr">
        <is>
          <t>Aurélien LUMEKA</t>
        </is>
      </c>
      <c r="D7" s="2" t="inlineStr"/>
      <c r="E7" s="2" t="inlineStr"/>
    </row>
    <row r="8">
      <c r="A8" s="2" t="inlineStr">
        <is>
          <t>Juillet</t>
        </is>
      </c>
      <c r="B8" s="2" t="inlineStr">
        <is>
          <t>Préparer les sessions de la rentrée : demandes d'agrément (≥ 7 mois avant l'examen), offre au Carif-Oref, EDOF</t>
        </is>
      </c>
      <c r="C8" s="2" t="inlineStr">
        <is>
          <t>Aurélien LUMEKA</t>
        </is>
      </c>
      <c r="D8" s="2" t="inlineStr"/>
      <c r="E8" s="2" t="inlineStr"/>
    </row>
    <row r="9">
      <c r="A9" s="2" t="inlineStr">
        <is>
          <t>Août</t>
        </is>
      </c>
      <c r="B9" s="2" t="inlineStr">
        <is>
          <t>Revue des contrats formateurs, CV et justificatifs ; vérification des assurances</t>
        </is>
      </c>
      <c r="C9" s="2" t="inlineStr">
        <is>
          <t>Aurélien LUMEKA</t>
        </is>
      </c>
      <c r="D9" s="2" t="inlineStr"/>
      <c r="E9" s="2" t="inlineStr"/>
    </row>
    <row r="10">
      <c r="A10" s="2" t="inlineStr">
        <is>
          <t>Septembre</t>
        </is>
      </c>
      <c r="B10" s="2" t="inlineStr">
        <is>
          <t>Renouveler l'attestation de vigilance URSSAF ; informations collectives avec Missions Locales et France Travail</t>
        </is>
      </c>
      <c r="C10" s="2" t="inlineStr">
        <is>
          <t>Aurélien LUMEKA</t>
        </is>
      </c>
      <c r="D10" s="2" t="inlineStr"/>
      <c r="E10" s="2" t="inlineStr"/>
    </row>
    <row r="11">
      <c r="A11" s="2" t="inlineStr">
        <is>
          <t>Octobre</t>
        </is>
      </c>
      <c r="B11" s="2" t="inlineStr">
        <is>
          <t>Préparer l'audit de surveillance / renouvellement Qualiopi selon votre date de certification [À COMPLÉTER]</t>
        </is>
      </c>
      <c r="C11" s="2" t="inlineStr">
        <is>
          <t>Aurélien LUMEKA</t>
        </is>
      </c>
      <c r="D11" s="2" t="inlineStr"/>
      <c r="E11" s="2" t="inlineStr"/>
    </row>
    <row r="12">
      <c r="A12" s="2" t="inlineStr">
        <is>
          <t>Novembre</t>
        </is>
      </c>
      <c r="B12" s="2" t="inlineStr">
        <is>
          <t>Exercice de crise cyclonique (plan de continuité, formation à distance) avant la saison cyclonique</t>
        </is>
      </c>
      <c r="C12" s="2" t="inlineStr">
        <is>
          <t>Aurélien LUMEKA</t>
        </is>
      </c>
      <c r="D12" s="2" t="inlineStr"/>
      <c r="E12" s="2" t="inlineStr"/>
    </row>
    <row r="13">
      <c r="A13" s="2" t="inlineStr">
        <is>
          <t>Décembre</t>
        </is>
      </c>
      <c r="B13" s="2" t="inlineStr">
        <is>
          <t>Clôture : facturation des heures réalisées, archivage des dossiers, enquêtes d'insertion à 6 mois de l'année</t>
        </is>
      </c>
      <c r="C13" s="2" t="inlineStr">
        <is>
          <t>Aurélien LUMEKA</t>
        </is>
      </c>
      <c r="D13" s="2" t="inlineStr"/>
      <c r="E13" s="2" t="inlineStr"/>
    </row>
    <row r="14">
      <c r="A14" s="2" t="inlineStr">
        <is>
          <t>Chaque mois</t>
        </is>
      </c>
      <c r="B14" s="2" t="inlineStr">
        <is>
          <t>Émargements et attestations de présence (KAIROS, financeurs) ; suivi des absences ; DSN ; indicateur d'abandon</t>
        </is>
      </c>
      <c r="C14" s="2" t="inlineStr">
        <is>
          <t>Aurélien LUMEKA</t>
        </is>
      </c>
      <c r="D14" s="2" t="inlineStr"/>
      <c r="E14" s="2" t="inlineStr"/>
    </row>
    <row r="15">
      <c r="A15" s="2" t="inlineStr">
        <is>
          <t>Chaque session</t>
        </is>
      </c>
      <c r="B15" s="2" t="inlineStr">
        <is>
          <t>Avant / pendant / après : voir le rétroplanning des documents PLN-MEM et PLN-RPMS</t>
        </is>
      </c>
      <c r="C15" s="2" t="inlineStr">
        <is>
          <t>Aurélien LUMEKA</t>
        </is>
      </c>
      <c r="D15" s="2" t="inlineStr"/>
      <c r="E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55" customWidth="1" min="4" max="4"/>
    <col width="14" customWidth="1" min="5" max="5"/>
    <col width="14" customWidth="1" min="6" max="6"/>
    <col width="10" customWidth="1" min="7" max="7"/>
    <col width="30" customWidth="1" min="8" max="8"/>
  </cols>
  <sheetData>
    <row r="1">
      <c r="A1" s="1" t="inlineStr">
        <is>
          <t>Semaine</t>
        </is>
      </c>
      <c r="B1" s="1" t="inlineStr">
        <is>
          <t>Lieu</t>
        </is>
      </c>
      <c r="C1" s="1" t="inlineStr">
        <is>
          <t>Code</t>
        </is>
      </c>
      <c r="D1" s="1" t="inlineStr">
        <is>
          <t>Module</t>
        </is>
      </c>
      <c r="E1" s="1" t="inlineStr">
        <is>
          <t>Heures prévues</t>
        </is>
      </c>
      <c r="F1" s="1" t="inlineStr">
        <is>
          <t>Heures réalisées</t>
        </is>
      </c>
      <c r="G1" s="1" t="inlineStr">
        <is>
          <t>Écart</t>
        </is>
      </c>
      <c r="H1" s="1" t="inlineStr">
        <is>
          <t>Commentaire</t>
        </is>
      </c>
    </row>
    <row r="2">
      <c r="A2" s="2" t="inlineStr">
        <is>
          <t>S1</t>
        </is>
      </c>
      <c r="B2" s="2" t="inlineStr">
        <is>
          <t>Centre</t>
        </is>
      </c>
      <c r="C2" s="2" t="inlineStr">
        <is>
          <t>M0</t>
        </is>
      </c>
      <c r="D2" s="2" t="inlineStr">
        <is>
          <t>Accueil, intégration et positionnement</t>
        </is>
      </c>
      <c r="E2" s="2" t="n">
        <v>14</v>
      </c>
      <c r="F2" s="2" t="inlineStr"/>
      <c r="G2" s="2">
        <f>IF(F2="","",F2-E2)</f>
        <v/>
      </c>
      <c r="H2" s="2" t="inlineStr"/>
    </row>
    <row r="3">
      <c r="A3" s="2" t="inlineStr">
        <is>
          <t>S1</t>
        </is>
      </c>
      <c r="B3" s="2" t="inlineStr">
        <is>
          <t>Centre</t>
        </is>
      </c>
      <c r="C3" s="2" t="inlineStr">
        <is>
          <t>T2</t>
        </is>
      </c>
      <c r="D3" s="2" t="inlineStr">
        <is>
          <t>Bureautique et tableur pour les épreuves</t>
        </is>
      </c>
      <c r="E3" s="2" t="n">
        <v>21</v>
      </c>
      <c r="F3" s="2" t="inlineStr"/>
      <c r="G3" s="2">
        <f>IF(F3="","",F3-E3)</f>
        <v/>
      </c>
      <c r="H3" s="2" t="inlineStr"/>
    </row>
    <row r="4">
      <c r="A4" s="2" t="inlineStr">
        <is>
          <t>S2</t>
        </is>
      </c>
      <c r="B4" s="2" t="inlineStr">
        <is>
          <t>Centre</t>
        </is>
      </c>
      <c r="C4" s="2" t="inlineStr">
        <is>
          <t>M1.1</t>
        </is>
      </c>
      <c r="D4" s="2" t="inlineStr">
        <is>
          <t>Animer l'équipe de son périmètre</t>
        </is>
      </c>
      <c r="E4" s="2" t="n">
        <v>35</v>
      </c>
      <c r="F4" s="2" t="inlineStr"/>
      <c r="G4" s="2">
        <f>IF(F4="","",F4-E4)</f>
        <v/>
      </c>
      <c r="H4" s="2" t="inlineStr"/>
    </row>
    <row r="5">
      <c r="A5" s="2" t="inlineStr">
        <is>
          <t>S3</t>
        </is>
      </c>
      <c r="B5" s="2" t="inlineStr">
        <is>
          <t>Centre</t>
        </is>
      </c>
      <c r="C5" s="2" t="inlineStr">
        <is>
          <t>M1.2</t>
        </is>
      </c>
      <c r="D5" s="2" t="inlineStr">
        <is>
          <t>Planifier et coordonner l'activité de l'équipe</t>
        </is>
      </c>
      <c r="E5" s="2" t="n">
        <v>35</v>
      </c>
      <c r="F5" s="2" t="inlineStr"/>
      <c r="G5" s="2">
        <f>IF(F5="","",F5-E5)</f>
        <v/>
      </c>
      <c r="H5" s="2" t="inlineStr"/>
    </row>
    <row r="6">
      <c r="A6" s="2" t="inlineStr">
        <is>
          <t>S4</t>
        </is>
      </c>
      <c r="B6" s="2" t="inlineStr">
        <is>
          <t>Centre</t>
        </is>
      </c>
      <c r="C6" s="2" t="inlineStr">
        <is>
          <t>T4</t>
        </is>
      </c>
      <c r="D6" s="2" t="inlineStr">
        <is>
          <t>Préparation de la période en entreprise et recherche d'emploi</t>
        </is>
      </c>
      <c r="E6" s="2" t="n">
        <v>14</v>
      </c>
      <c r="F6" s="2" t="inlineStr"/>
      <c r="G6" s="2">
        <f>IF(F6="","",F6-E6)</f>
        <v/>
      </c>
      <c r="H6" s="2" t="inlineStr"/>
    </row>
    <row r="7">
      <c r="A7" s="2" t="inlineStr">
        <is>
          <t>S4</t>
        </is>
      </c>
      <c r="B7" s="2" t="inlineStr">
        <is>
          <t>Centre</t>
        </is>
      </c>
      <c r="C7" s="2" t="inlineStr">
        <is>
          <t>M1.3</t>
        </is>
      </c>
      <c r="D7" s="2" t="inlineStr">
        <is>
          <t>Accompagner la performance individuelle des collaborateurs</t>
        </is>
      </c>
      <c r="E7" s="2" t="n">
        <v>21</v>
      </c>
      <c r="F7" s="2" t="inlineStr"/>
      <c r="G7" s="2">
        <f>IF(F7="","",F7-E7)</f>
        <v/>
      </c>
      <c r="H7" s="2" t="inlineStr"/>
    </row>
    <row r="8">
      <c r="A8" s="2" t="inlineStr">
        <is>
          <t>S5</t>
        </is>
      </c>
      <c r="B8" s="2" t="inlineStr">
        <is>
          <t>Centre</t>
        </is>
      </c>
      <c r="C8" s="2" t="inlineStr">
        <is>
          <t>M1.3</t>
        </is>
      </c>
      <c r="D8" s="2" t="inlineStr">
        <is>
          <t>Accompagner la performance individuelle des collaborateurs</t>
        </is>
      </c>
      <c r="E8" s="2" t="n">
        <v>14</v>
      </c>
      <c r="F8" s="2" t="inlineStr"/>
      <c r="G8" s="2">
        <f>IF(F8="","",F8-E8)</f>
        <v/>
      </c>
      <c r="H8" s="2" t="inlineStr"/>
    </row>
    <row r="9">
      <c r="A9" s="2" t="inlineStr">
        <is>
          <t>S5</t>
        </is>
      </c>
      <c r="B9" s="2" t="inlineStr">
        <is>
          <t>Centre</t>
        </is>
      </c>
      <c r="C9" s="2" t="inlineStr">
        <is>
          <t>M1.4</t>
        </is>
      </c>
      <c r="D9" s="2" t="inlineStr">
        <is>
          <t>Contribuer au recrutement et à l'intégration</t>
        </is>
      </c>
      <c r="E9" s="2" t="n">
        <v>21</v>
      </c>
      <c r="F9" s="2" t="inlineStr"/>
      <c r="G9" s="2">
        <f>IF(F9="","",F9-E9)</f>
        <v/>
      </c>
      <c r="H9" s="2" t="inlineStr"/>
    </row>
    <row r="10">
      <c r="A10" s="2" t="inlineStr">
        <is>
          <t>S6</t>
        </is>
      </c>
      <c r="B10" s="2" t="inlineStr">
        <is>
          <t>Centre</t>
        </is>
      </c>
      <c r="C10" s="2" t="inlineStr">
        <is>
          <t>M1.4</t>
        </is>
      </c>
      <c r="D10" s="2" t="inlineStr">
        <is>
          <t>Contribuer au recrutement et à l'intégration</t>
        </is>
      </c>
      <c r="E10" s="2" t="n">
        <v>14</v>
      </c>
      <c r="F10" s="2" t="inlineStr"/>
      <c r="G10" s="2">
        <f>IF(F10="","",F10-E10)</f>
        <v/>
      </c>
      <c r="H10" s="2" t="inlineStr"/>
    </row>
    <row r="11">
      <c r="A11" s="2" t="inlineStr">
        <is>
          <t>S6</t>
        </is>
      </c>
      <c r="B11" s="2" t="inlineStr">
        <is>
          <t>Centre</t>
        </is>
      </c>
      <c r="C11" s="2" t="inlineStr">
        <is>
          <t>M2.1</t>
        </is>
      </c>
      <c r="D11" s="2" t="inlineStr">
        <is>
          <t>Gérer l'approvisionnement de son périmètre</t>
        </is>
      </c>
      <c r="E11" s="2" t="n">
        <v>21</v>
      </c>
      <c r="F11" s="2" t="inlineStr"/>
      <c r="G11" s="2">
        <f>IF(F11="","",F11-E11)</f>
        <v/>
      </c>
      <c r="H11" s="2" t="inlineStr"/>
    </row>
    <row r="12">
      <c r="A12" s="2" t="inlineStr">
        <is>
          <t>S7</t>
        </is>
      </c>
      <c r="B12" s="2" t="inlineStr">
        <is>
          <t>Centre</t>
        </is>
      </c>
      <c r="C12" s="2" t="inlineStr">
        <is>
          <t>M2.1</t>
        </is>
      </c>
      <c r="D12" s="2" t="inlineStr">
        <is>
          <t>Gérer l'approvisionnement de son périmètre</t>
        </is>
      </c>
      <c r="E12" s="2" t="n">
        <v>28</v>
      </c>
      <c r="F12" s="2" t="inlineStr"/>
      <c r="G12" s="2">
        <f>IF(F12="","",F12-E12)</f>
        <v/>
      </c>
      <c r="H12" s="2" t="inlineStr"/>
    </row>
    <row r="13">
      <c r="A13" s="2" t="inlineStr">
        <is>
          <t>S7</t>
        </is>
      </c>
      <c r="B13" s="2" t="inlineStr">
        <is>
          <t>Centre</t>
        </is>
      </c>
      <c r="C13" s="2" t="inlineStr">
        <is>
          <t>M2.2</t>
        </is>
      </c>
      <c r="D13" s="2" t="inlineStr">
        <is>
          <t>Organiser et mettre en œuvre le merchandising</t>
        </is>
      </c>
      <c r="E13" s="2" t="n">
        <v>7</v>
      </c>
      <c r="F13" s="2" t="inlineStr"/>
      <c r="G13" s="2">
        <f>IF(F13="","",F13-E13)</f>
        <v/>
      </c>
      <c r="H13" s="2" t="inlineStr"/>
    </row>
    <row r="14">
      <c r="A14" s="2" t="inlineStr">
        <is>
          <t>S8</t>
        </is>
      </c>
      <c r="B14" s="2" t="inlineStr">
        <is>
          <t>Centre</t>
        </is>
      </c>
      <c r="C14" s="2" t="inlineStr">
        <is>
          <t>M2.2</t>
        </is>
      </c>
      <c r="D14" s="2" t="inlineStr">
        <is>
          <t>Organiser et mettre en œuvre le merchandising</t>
        </is>
      </c>
      <c r="E14" s="2" t="n">
        <v>35</v>
      </c>
      <c r="F14" s="2" t="inlineStr"/>
      <c r="G14" s="2">
        <f>IF(F14="","",F14-E14)</f>
        <v/>
      </c>
      <c r="H14" s="2" t="inlineStr"/>
    </row>
    <row r="15">
      <c r="A15" s="2" t="inlineStr">
        <is>
          <t>S9</t>
        </is>
      </c>
      <c r="B15" s="2" t="inlineStr">
        <is>
          <t>Centre</t>
        </is>
      </c>
      <c r="C15" s="2" t="inlineStr">
        <is>
          <t>M2.2</t>
        </is>
      </c>
      <c r="D15" s="2" t="inlineStr">
        <is>
          <t>Organiser et mettre en œuvre le merchandising</t>
        </is>
      </c>
      <c r="E15" s="2" t="n">
        <v>14</v>
      </c>
      <c r="F15" s="2" t="inlineStr"/>
      <c r="G15" s="2">
        <f>IF(F15="","",F15-E15)</f>
        <v/>
      </c>
      <c r="H15" s="2" t="inlineStr"/>
    </row>
    <row r="16">
      <c r="A16" s="2" t="inlineStr">
        <is>
          <t>S9</t>
        </is>
      </c>
      <c r="B16" s="2" t="inlineStr">
        <is>
          <t>Centre</t>
        </is>
      </c>
      <c r="C16" s="2" t="inlineStr">
        <is>
          <t>M2.3</t>
        </is>
      </c>
      <c r="D16" s="2" t="inlineStr">
        <is>
          <t>Participer à l'amélioration de l'expérience client</t>
        </is>
      </c>
      <c r="E16" s="2" t="n">
        <v>21</v>
      </c>
      <c r="F16" s="2" t="inlineStr"/>
      <c r="G16" s="2">
        <f>IF(F16="","",F16-E16)</f>
        <v/>
      </c>
      <c r="H16" s="2" t="inlineStr"/>
    </row>
    <row r="17">
      <c r="A17" s="2" t="inlineStr">
        <is>
          <t>S10</t>
        </is>
      </c>
      <c r="B17" s="2" t="inlineStr">
        <is>
          <t>Centre</t>
        </is>
      </c>
      <c r="C17" s="2" t="inlineStr">
        <is>
          <t>M2.3</t>
        </is>
      </c>
      <c r="D17" s="2" t="inlineStr">
        <is>
          <t>Participer à l'amélioration de l'expérience client</t>
        </is>
      </c>
      <c r="E17" s="2" t="n">
        <v>28</v>
      </c>
      <c r="F17" s="2" t="inlineStr"/>
      <c r="G17" s="2">
        <f>IF(F17="","",F17-E17)</f>
        <v/>
      </c>
      <c r="H17" s="2" t="inlineStr"/>
    </row>
    <row r="18">
      <c r="A18" s="2" t="inlineStr">
        <is>
          <t>S11</t>
        </is>
      </c>
      <c r="B18" s="2" t="inlineStr">
        <is>
          <t>Entreprise</t>
        </is>
      </c>
      <c r="C18" s="2" t="inlineStr">
        <is>
          <t>PAE</t>
        </is>
      </c>
      <c r="D18" s="2" t="inlineStr">
        <is>
          <t>Période en entreprise</t>
        </is>
      </c>
      <c r="E18" s="2" t="n">
        <v>35</v>
      </c>
      <c r="F18" s="2" t="inlineStr"/>
      <c r="G18" s="2">
        <f>IF(F18="","",F18-E18)</f>
        <v/>
      </c>
      <c r="H18" s="2" t="inlineStr"/>
    </row>
    <row r="19">
      <c r="A19" s="2" t="inlineStr">
        <is>
          <t>S12</t>
        </is>
      </c>
      <c r="B19" s="2" t="inlineStr">
        <is>
          <t>Entreprise</t>
        </is>
      </c>
      <c r="C19" s="2" t="inlineStr">
        <is>
          <t>PAE</t>
        </is>
      </c>
      <c r="D19" s="2" t="inlineStr">
        <is>
          <t>Période en entreprise</t>
        </is>
      </c>
      <c r="E19" s="2" t="n">
        <v>35</v>
      </c>
      <c r="F19" s="2" t="inlineStr"/>
      <c r="G19" s="2">
        <f>IF(F19="","",F19-E19)</f>
        <v/>
      </c>
      <c r="H19" s="2" t="inlineStr"/>
    </row>
    <row r="20">
      <c r="A20" s="2" t="inlineStr">
        <is>
          <t>S13</t>
        </is>
      </c>
      <c r="B20" s="2" t="inlineStr">
        <is>
          <t>Entreprise</t>
        </is>
      </c>
      <c r="C20" s="2" t="inlineStr">
        <is>
          <t>PAE</t>
        </is>
      </c>
      <c r="D20" s="2" t="inlineStr">
        <is>
          <t>Période en entreprise</t>
        </is>
      </c>
      <c r="E20" s="2" t="n">
        <v>35</v>
      </c>
      <c r="F20" s="2" t="inlineStr"/>
      <c r="G20" s="2">
        <f>IF(F20="","",F20-E20)</f>
        <v/>
      </c>
      <c r="H20" s="2" t="inlineStr"/>
    </row>
    <row r="21">
      <c r="A21" s="2" t="inlineStr">
        <is>
          <t>S14</t>
        </is>
      </c>
      <c r="B21" s="2" t="inlineStr">
        <is>
          <t>Entreprise</t>
        </is>
      </c>
      <c r="C21" s="2" t="inlineStr">
        <is>
          <t>PAE</t>
        </is>
      </c>
      <c r="D21" s="2" t="inlineStr">
        <is>
          <t>Période en entreprise</t>
        </is>
      </c>
      <c r="E21" s="2" t="n">
        <v>35</v>
      </c>
      <c r="F21" s="2" t="inlineStr"/>
      <c r="G21" s="2">
        <f>IF(F21="","",F21-E21)</f>
        <v/>
      </c>
      <c r="H21" s="2" t="inlineStr"/>
    </row>
    <row r="22">
      <c r="A22" s="2" t="inlineStr">
        <is>
          <t>S15</t>
        </is>
      </c>
      <c r="B22" s="2" t="inlineStr">
        <is>
          <t>Centre</t>
        </is>
      </c>
      <c r="C22" s="2" t="inlineStr">
        <is>
          <t>T1</t>
        </is>
      </c>
      <c r="D22" s="2" t="inlineStr">
        <is>
          <t>IA appliquée au management et au commerce (module distinctif YEBA)</t>
        </is>
      </c>
      <c r="E22" s="2" t="n">
        <v>35</v>
      </c>
      <c r="F22" s="2" t="inlineStr"/>
      <c r="G22" s="2">
        <f>IF(F22="","",F22-E22)</f>
        <v/>
      </c>
      <c r="H22" s="2" t="inlineStr"/>
    </row>
    <row r="23">
      <c r="A23" s="2" t="inlineStr">
        <is>
          <t>S16</t>
        </is>
      </c>
      <c r="B23" s="2" t="inlineStr">
        <is>
          <t>Centre</t>
        </is>
      </c>
      <c r="C23" s="2" t="inlineStr">
        <is>
          <t>T1</t>
        </is>
      </c>
      <c r="D23" s="2" t="inlineStr">
        <is>
          <t>IA appliquée au management et au commerce (module distinctif YEBA)</t>
        </is>
      </c>
      <c r="E23" s="2" t="n">
        <v>7</v>
      </c>
      <c r="F23" s="2" t="inlineStr"/>
      <c r="G23" s="2">
        <f>IF(F23="","",F23-E23)</f>
        <v/>
      </c>
      <c r="H23" s="2" t="inlineStr"/>
    </row>
    <row r="24">
      <c r="A24" s="2" t="inlineStr">
        <is>
          <t>S16</t>
        </is>
      </c>
      <c r="B24" s="2" t="inlineStr">
        <is>
          <t>Centre</t>
        </is>
      </c>
      <c r="C24" s="2" t="inlineStr">
        <is>
          <t>M3.1</t>
        </is>
      </c>
      <c r="D24" s="2" t="inlineStr">
        <is>
          <t>Analyser la performance commerciale de son périmètre</t>
        </is>
      </c>
      <c r="E24" s="2" t="n">
        <v>28</v>
      </c>
      <c r="F24" s="2" t="inlineStr"/>
      <c r="G24" s="2">
        <f>IF(F24="","",F24-E24)</f>
        <v/>
      </c>
      <c r="H24" s="2" t="inlineStr"/>
    </row>
    <row r="25">
      <c r="A25" s="2" t="inlineStr">
        <is>
          <t>S17</t>
        </is>
      </c>
      <c r="B25" s="2" t="inlineStr">
        <is>
          <t>Centre</t>
        </is>
      </c>
      <c r="C25" s="2" t="inlineStr">
        <is>
          <t>M3.1</t>
        </is>
      </c>
      <c r="D25" s="2" t="inlineStr">
        <is>
          <t>Analyser la performance commerciale de son périmètre</t>
        </is>
      </c>
      <c r="E25" s="2" t="n">
        <v>14</v>
      </c>
      <c r="F25" s="2" t="inlineStr"/>
      <c r="G25" s="2">
        <f>IF(F25="","",F25-E25)</f>
        <v/>
      </c>
      <c r="H25" s="2" t="inlineStr"/>
    </row>
    <row r="26">
      <c r="A26" s="2" t="inlineStr">
        <is>
          <t>S17</t>
        </is>
      </c>
      <c r="B26" s="2" t="inlineStr">
        <is>
          <t>Centre</t>
        </is>
      </c>
      <c r="C26" s="2" t="inlineStr">
        <is>
          <t>M3.2</t>
        </is>
      </c>
      <c r="D26" s="2" t="inlineStr">
        <is>
          <t>Analyser la rentabilité de son périmètre</t>
        </is>
      </c>
      <c r="E26" s="2" t="n">
        <v>21</v>
      </c>
      <c r="F26" s="2" t="inlineStr"/>
      <c r="G26" s="2">
        <f>IF(F26="","",F26-E26)</f>
        <v/>
      </c>
      <c r="H26" s="2" t="inlineStr"/>
    </row>
    <row r="27">
      <c r="A27" s="2" t="inlineStr">
        <is>
          <t>S18</t>
        </is>
      </c>
      <c r="B27" s="2" t="inlineStr">
        <is>
          <t>Centre</t>
        </is>
      </c>
      <c r="C27" s="2" t="inlineStr">
        <is>
          <t>M3.2</t>
        </is>
      </c>
      <c r="D27" s="2" t="inlineStr">
        <is>
          <t>Analyser la rentabilité de son périmètre</t>
        </is>
      </c>
      <c r="E27" s="2" t="n">
        <v>21</v>
      </c>
      <c r="F27" s="2" t="inlineStr"/>
      <c r="G27" s="2">
        <f>IF(F27="","",F27-E27)</f>
        <v/>
      </c>
      <c r="H27" s="2" t="inlineStr"/>
    </row>
    <row r="28">
      <c r="A28" s="2" t="inlineStr">
        <is>
          <t>S18</t>
        </is>
      </c>
      <c r="B28" s="2" t="inlineStr">
        <is>
          <t>Centre</t>
        </is>
      </c>
      <c r="C28" s="2" t="inlineStr">
        <is>
          <t>M3.3</t>
        </is>
      </c>
      <c r="D28" s="2" t="inlineStr">
        <is>
          <t>Proposer des actions correctives et suivre le plan d'actions</t>
        </is>
      </c>
      <c r="E28" s="2" t="n">
        <v>14</v>
      </c>
      <c r="F28" s="2" t="inlineStr"/>
      <c r="G28" s="2">
        <f>IF(F28="","",F28-E28)</f>
        <v/>
      </c>
      <c r="H28" s="2" t="inlineStr"/>
    </row>
    <row r="29">
      <c r="A29" s="2" t="inlineStr">
        <is>
          <t>S19</t>
        </is>
      </c>
      <c r="B29" s="2" t="inlineStr">
        <is>
          <t>Centre</t>
        </is>
      </c>
      <c r="C29" s="2" t="inlineStr">
        <is>
          <t>M3.3</t>
        </is>
      </c>
      <c r="D29" s="2" t="inlineStr">
        <is>
          <t>Proposer des actions correctives et suivre le plan d'actions</t>
        </is>
      </c>
      <c r="E29" s="2" t="n">
        <v>28</v>
      </c>
      <c r="F29" s="2" t="inlineStr"/>
      <c r="G29" s="2">
        <f>IF(F29="","",F29-E29)</f>
        <v/>
      </c>
      <c r="H29" s="2" t="inlineStr"/>
    </row>
    <row r="30">
      <c r="A30" s="2" t="inlineStr">
        <is>
          <t>S20</t>
        </is>
      </c>
      <c r="B30" s="2" t="inlineStr">
        <is>
          <t>Entreprise</t>
        </is>
      </c>
      <c r="C30" s="2" t="inlineStr">
        <is>
          <t>PAE</t>
        </is>
      </c>
      <c r="D30" s="2" t="inlineStr">
        <is>
          <t>Période en entreprise</t>
        </is>
      </c>
      <c r="E30" s="2" t="n">
        <v>35</v>
      </c>
      <c r="F30" s="2" t="inlineStr"/>
      <c r="G30" s="2">
        <f>IF(F30="","",F30-E30)</f>
        <v/>
      </c>
      <c r="H30" s="2" t="inlineStr"/>
    </row>
    <row r="31">
      <c r="A31" s="2" t="inlineStr">
        <is>
          <t>S21</t>
        </is>
      </c>
      <c r="B31" s="2" t="inlineStr">
        <is>
          <t>Entreprise</t>
        </is>
      </c>
      <c r="C31" s="2" t="inlineStr">
        <is>
          <t>PAE</t>
        </is>
      </c>
      <c r="D31" s="2" t="inlineStr">
        <is>
          <t>Période en entreprise</t>
        </is>
      </c>
      <c r="E31" s="2" t="n">
        <v>35</v>
      </c>
      <c r="F31" s="2" t="inlineStr"/>
      <c r="G31" s="2">
        <f>IF(F31="","",F31-E31)</f>
        <v/>
      </c>
      <c r="H31" s="2" t="inlineStr"/>
    </row>
    <row r="32">
      <c r="A32" s="2" t="inlineStr">
        <is>
          <t>S22</t>
        </is>
      </c>
      <c r="B32" s="2" t="inlineStr">
        <is>
          <t>Entreprise</t>
        </is>
      </c>
      <c r="C32" s="2" t="inlineStr">
        <is>
          <t>PAE</t>
        </is>
      </c>
      <c r="D32" s="2" t="inlineStr">
        <is>
          <t>Période en entreprise</t>
        </is>
      </c>
      <c r="E32" s="2" t="n">
        <v>35</v>
      </c>
      <c r="F32" s="2" t="inlineStr"/>
      <c r="G32" s="2">
        <f>IF(F32="","",F32-E32)</f>
        <v/>
      </c>
      <c r="H32" s="2" t="inlineStr"/>
    </row>
    <row r="33">
      <c r="A33" s="2" t="inlineStr">
        <is>
          <t>S23</t>
        </is>
      </c>
      <c r="B33" s="2" t="inlineStr">
        <is>
          <t>Entreprise</t>
        </is>
      </c>
      <c r="C33" s="2" t="inlineStr">
        <is>
          <t>PAE</t>
        </is>
      </c>
      <c r="D33" s="2" t="inlineStr">
        <is>
          <t>Période en entreprise</t>
        </is>
      </c>
      <c r="E33" s="2" t="n">
        <v>35</v>
      </c>
      <c r="F33" s="2" t="inlineStr"/>
      <c r="G33" s="2">
        <f>IF(F33="","",F33-E33)</f>
        <v/>
      </c>
      <c r="H33" s="2" t="inlineStr"/>
    </row>
    <row r="34">
      <c r="A34" s="2" t="inlineStr">
        <is>
          <t>S24</t>
        </is>
      </c>
      <c r="B34" s="2" t="inlineStr">
        <is>
          <t>Centre</t>
        </is>
      </c>
      <c r="C34" s="2" t="inlineStr">
        <is>
          <t>T3</t>
        </is>
      </c>
      <c r="D34" s="2" t="inlineStr">
        <is>
          <t>Dossier professionnel et productions pour l'examen</t>
        </is>
      </c>
      <c r="E34" s="2" t="n">
        <v>21</v>
      </c>
      <c r="F34" s="2" t="inlineStr"/>
      <c r="G34" s="2">
        <f>IF(F34="","",F34-E34)</f>
        <v/>
      </c>
      <c r="H34" s="2" t="inlineStr"/>
    </row>
    <row r="35">
      <c r="A35" s="2" t="inlineStr">
        <is>
          <t>S24</t>
        </is>
      </c>
      <c r="B35" s="2" t="inlineStr">
        <is>
          <t>Centre</t>
        </is>
      </c>
      <c r="C35" s="2" t="inlineStr">
        <is>
          <t>T5</t>
        </is>
      </c>
      <c r="D35" s="2" t="inlineStr">
        <is>
          <t>Entraînement aux épreuves du titre</t>
        </is>
      </c>
      <c r="E35" s="2" t="n">
        <v>14</v>
      </c>
      <c r="F35" s="2" t="inlineStr"/>
      <c r="G35" s="2">
        <f>IF(F35="","",F35-E35)</f>
        <v/>
      </c>
      <c r="H35" s="2" t="inlineStr"/>
    </row>
    <row r="36">
      <c r="A36" s="2" t="inlineStr">
        <is>
          <t>S25</t>
        </is>
      </c>
      <c r="B36" s="2" t="inlineStr">
        <is>
          <t>Centre</t>
        </is>
      </c>
      <c r="C36" s="2" t="inlineStr">
        <is>
          <t>T5</t>
        </is>
      </c>
      <c r="D36" s="2" t="inlineStr">
        <is>
          <t>Entraînement aux épreuves du titre</t>
        </is>
      </c>
      <c r="E36" s="2" t="n">
        <v>7</v>
      </c>
      <c r="F36" s="2" t="inlineStr"/>
      <c r="G36" s="2">
        <f>IF(F36="","",F36-E36)</f>
        <v/>
      </c>
      <c r="H36" s="2" t="inlineStr"/>
    </row>
    <row r="37">
      <c r="A37" s="2" t="inlineStr">
        <is>
          <t>S25</t>
        </is>
      </c>
      <c r="B37" s="2" t="inlineStr">
        <is>
          <t>Centre</t>
        </is>
      </c>
      <c r="C37" s="2" t="inlineStr">
        <is>
          <t>T6</t>
        </is>
      </c>
      <c r="D37" s="2" t="inlineStr">
        <is>
          <t>Suivi individuel et prévention du décrochage</t>
        </is>
      </c>
      <c r="E37" s="2" t="n">
        <v>7</v>
      </c>
      <c r="F37" s="2" t="inlineStr"/>
      <c r="G37" s="2">
        <f>IF(F37="","",F37-E37)</f>
        <v/>
      </c>
      <c r="H37" s="2" t="inlineStr"/>
    </row>
    <row r="38">
      <c r="D38" s="3" t="inlineStr">
        <is>
          <t>TOTAL</t>
        </is>
      </c>
      <c r="E38" s="3">
        <f>SUM(E2:E37)</f>
        <v/>
      </c>
      <c r="F38">
        <f>SUM(F2:F37)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55" customWidth="1" min="4" max="4"/>
    <col width="14" customWidth="1" min="5" max="5"/>
    <col width="14" customWidth="1" min="6" max="6"/>
    <col width="10" customWidth="1" min="7" max="7"/>
    <col width="30" customWidth="1" min="8" max="8"/>
  </cols>
  <sheetData>
    <row r="1">
      <c r="A1" s="1" t="inlineStr">
        <is>
          <t>Semaine</t>
        </is>
      </c>
      <c r="B1" s="1" t="inlineStr">
        <is>
          <t>Lieu</t>
        </is>
      </c>
      <c r="C1" s="1" t="inlineStr">
        <is>
          <t>Code</t>
        </is>
      </c>
      <c r="D1" s="1" t="inlineStr">
        <is>
          <t>Module</t>
        </is>
      </c>
      <c r="E1" s="1" t="inlineStr">
        <is>
          <t>Heures prévues</t>
        </is>
      </c>
      <c r="F1" s="1" t="inlineStr">
        <is>
          <t>Heures réalisées</t>
        </is>
      </c>
      <c r="G1" s="1" t="inlineStr">
        <is>
          <t>Écart</t>
        </is>
      </c>
      <c r="H1" s="1" t="inlineStr">
        <is>
          <t>Commentaire</t>
        </is>
      </c>
    </row>
    <row r="2">
      <c r="A2" s="2" t="inlineStr">
        <is>
          <t>S1</t>
        </is>
      </c>
      <c r="B2" s="2" t="inlineStr">
        <is>
          <t>Centre</t>
        </is>
      </c>
      <c r="C2" s="2" t="inlineStr">
        <is>
          <t>M0</t>
        </is>
      </c>
      <c r="D2" s="2" t="inlineStr">
        <is>
          <t>Accueil, intégration et positionnement</t>
        </is>
      </c>
      <c r="E2" s="2" t="n">
        <v>14</v>
      </c>
      <c r="F2" s="2" t="inlineStr"/>
      <c r="G2" s="2">
        <f>IF(F2="","",F2-E2)</f>
        <v/>
      </c>
      <c r="H2" s="2" t="inlineStr"/>
    </row>
    <row r="3">
      <c r="A3" s="2" t="inlineStr">
        <is>
          <t>S1</t>
        </is>
      </c>
      <c r="B3" s="2" t="inlineStr">
        <is>
          <t>Centre</t>
        </is>
      </c>
      <c r="C3" s="2" t="inlineStr">
        <is>
          <t>M1.1</t>
        </is>
      </c>
      <c r="D3" s="2" t="inlineStr">
        <is>
          <t>Développer une vision systémique de la structure</t>
        </is>
      </c>
      <c r="E3" s="2" t="n">
        <v>21</v>
      </c>
      <c r="F3" s="2" t="inlineStr"/>
      <c r="G3" s="2">
        <f>IF(F3="","",F3-E3)</f>
        <v/>
      </c>
      <c r="H3" s="2" t="inlineStr"/>
    </row>
    <row r="4">
      <c r="A4" s="2" t="inlineStr">
        <is>
          <t>S2</t>
        </is>
      </c>
      <c r="B4" s="2" t="inlineStr">
        <is>
          <t>Centre</t>
        </is>
      </c>
      <c r="C4" s="2" t="inlineStr">
        <is>
          <t>M1.1</t>
        </is>
      </c>
      <c r="D4" s="2" t="inlineStr">
        <is>
          <t>Développer une vision systémique de la structure</t>
        </is>
      </c>
      <c r="E4" s="2" t="n">
        <v>28</v>
      </c>
      <c r="F4" s="2" t="inlineStr"/>
      <c r="G4" s="2">
        <f>IF(F4="","",F4-E4)</f>
        <v/>
      </c>
      <c r="H4" s="2" t="inlineStr"/>
    </row>
    <row r="5">
      <c r="A5" s="2" t="inlineStr">
        <is>
          <t>S2</t>
        </is>
      </c>
      <c r="B5" s="2" t="inlineStr">
        <is>
          <t>Centre</t>
        </is>
      </c>
      <c r="C5" s="2" t="inlineStr">
        <is>
          <t>M1.2</t>
        </is>
      </c>
      <c r="D5" s="2" t="inlineStr">
        <is>
          <t>Inscrire la structure dans son territoire</t>
        </is>
      </c>
      <c r="E5" s="2" t="n">
        <v>7</v>
      </c>
      <c r="F5" s="2" t="inlineStr"/>
      <c r="G5" s="2">
        <f>IF(F5="","",F5-E5)</f>
        <v/>
      </c>
      <c r="H5" s="2" t="inlineStr"/>
    </row>
    <row r="6">
      <c r="A6" s="2" t="inlineStr">
        <is>
          <t>S3</t>
        </is>
      </c>
      <c r="B6" s="2" t="inlineStr">
        <is>
          <t>Centre</t>
        </is>
      </c>
      <c r="C6" s="2" t="inlineStr">
        <is>
          <t>M1.2</t>
        </is>
      </c>
      <c r="D6" s="2" t="inlineStr">
        <is>
          <t>Inscrire la structure dans son territoire</t>
        </is>
      </c>
      <c r="E6" s="2" t="n">
        <v>28</v>
      </c>
      <c r="F6" s="2" t="inlineStr"/>
      <c r="G6" s="2">
        <f>IF(F6="","",F6-E6)</f>
        <v/>
      </c>
      <c r="H6" s="2" t="inlineStr"/>
    </row>
    <row r="7">
      <c r="A7" s="2" t="inlineStr">
        <is>
          <t>S3</t>
        </is>
      </c>
      <c r="B7" s="2" t="inlineStr">
        <is>
          <t>Centre</t>
        </is>
      </c>
      <c r="C7" s="2" t="inlineStr">
        <is>
          <t>M1.3</t>
        </is>
      </c>
      <c r="D7" s="2" t="inlineStr">
        <is>
          <t>Manager et animer une équipe</t>
        </is>
      </c>
      <c r="E7" s="2" t="n">
        <v>7</v>
      </c>
      <c r="F7" s="2" t="inlineStr"/>
      <c r="G7" s="2">
        <f>IF(F7="","",F7-E7)</f>
        <v/>
      </c>
      <c r="H7" s="2" t="inlineStr"/>
    </row>
    <row r="8">
      <c r="A8" s="2" t="inlineStr">
        <is>
          <t>S4</t>
        </is>
      </c>
      <c r="B8" s="2" t="inlineStr">
        <is>
          <t>Centre</t>
        </is>
      </c>
      <c r="C8" s="2" t="inlineStr">
        <is>
          <t>M1.3</t>
        </is>
      </c>
      <c r="D8" s="2" t="inlineStr">
        <is>
          <t>Manager et animer une équipe</t>
        </is>
      </c>
      <c r="E8" s="2" t="n">
        <v>35</v>
      </c>
      <c r="F8" s="2" t="inlineStr"/>
      <c r="G8" s="2">
        <f>IF(F8="","",F8-E8)</f>
        <v/>
      </c>
      <c r="H8" s="2" t="inlineStr"/>
    </row>
    <row r="9">
      <c r="A9" s="2" t="inlineStr">
        <is>
          <t>S5</t>
        </is>
      </c>
      <c r="B9" s="2" t="inlineStr">
        <is>
          <t>Centre</t>
        </is>
      </c>
      <c r="C9" s="2" t="inlineStr">
        <is>
          <t>M1.3</t>
        </is>
      </c>
      <c r="D9" s="2" t="inlineStr">
        <is>
          <t>Manager et animer une équipe</t>
        </is>
      </c>
      <c r="E9" s="2" t="n">
        <v>28</v>
      </c>
      <c r="F9" s="2" t="inlineStr"/>
      <c r="G9" s="2">
        <f>IF(F9="","",F9-E9)</f>
        <v/>
      </c>
      <c r="H9" s="2" t="inlineStr"/>
    </row>
    <row r="10">
      <c r="A10" s="2" t="inlineStr">
        <is>
          <t>S5</t>
        </is>
      </c>
      <c r="B10" s="2" t="inlineStr">
        <is>
          <t>Centre</t>
        </is>
      </c>
      <c r="C10" s="2" t="inlineStr">
        <is>
          <t>T4</t>
        </is>
      </c>
      <c r="D10" s="2" t="inlineStr">
        <is>
          <t>Préparation de la période en entreprise et insertion</t>
        </is>
      </c>
      <c r="E10" s="2" t="n">
        <v>7</v>
      </c>
      <c r="F10" s="2" t="inlineStr"/>
      <c r="G10" s="2">
        <f>IF(F10="","",F10-E10)</f>
        <v/>
      </c>
      <c r="H10" s="2" t="inlineStr"/>
    </row>
    <row r="11">
      <c r="A11" s="2" t="inlineStr">
        <is>
          <t>S6</t>
        </is>
      </c>
      <c r="B11" s="2" t="inlineStr">
        <is>
          <t>Centre</t>
        </is>
      </c>
      <c r="C11" s="2" t="inlineStr">
        <is>
          <t>T4</t>
        </is>
      </c>
      <c r="D11" s="2" t="inlineStr">
        <is>
          <t>Préparation de la période en entreprise et insertion</t>
        </is>
      </c>
      <c r="E11" s="2" t="n">
        <v>7</v>
      </c>
      <c r="F11" s="2" t="inlineStr"/>
      <c r="G11" s="2">
        <f>IF(F11="","",F11-E11)</f>
        <v/>
      </c>
      <c r="H11" s="2" t="inlineStr"/>
    </row>
    <row r="12">
      <c r="A12" s="2" t="inlineStr">
        <is>
          <t>S6</t>
        </is>
      </c>
      <c r="B12" s="2" t="inlineStr">
        <is>
          <t>Centre</t>
        </is>
      </c>
      <c r="C12" s="2" t="inlineStr">
        <is>
          <t>M2.1</t>
        </is>
      </c>
      <c r="D12" s="2" t="inlineStr">
        <is>
          <t>Adapter l'offre de la structure à la demande</t>
        </is>
      </c>
      <c r="E12" s="2" t="n">
        <v>28</v>
      </c>
      <c r="F12" s="2" t="inlineStr"/>
      <c r="G12" s="2">
        <f>IF(F12="","",F12-E12)</f>
        <v/>
      </c>
      <c r="H12" s="2" t="inlineStr"/>
    </row>
    <row r="13">
      <c r="A13" s="2" t="inlineStr">
        <is>
          <t>S7</t>
        </is>
      </c>
      <c r="B13" s="2" t="inlineStr">
        <is>
          <t>Centre</t>
        </is>
      </c>
      <c r="C13" s="2" t="inlineStr">
        <is>
          <t>M2.1</t>
        </is>
      </c>
      <c r="D13" s="2" t="inlineStr">
        <is>
          <t>Adapter l'offre de la structure à la demande</t>
        </is>
      </c>
      <c r="E13" s="2" t="n">
        <v>35</v>
      </c>
      <c r="F13" s="2" t="inlineStr"/>
      <c r="G13" s="2">
        <f>IF(F13="","",F13-E13)</f>
        <v/>
      </c>
      <c r="H13" s="2" t="inlineStr"/>
    </row>
    <row r="14">
      <c r="A14" s="2" t="inlineStr">
        <is>
          <t>S8</t>
        </is>
      </c>
      <c r="B14" s="2" t="inlineStr">
        <is>
          <t>Centre</t>
        </is>
      </c>
      <c r="C14" s="2" t="inlineStr">
        <is>
          <t>M2.2</t>
        </is>
      </c>
      <c r="D14" s="2" t="inlineStr">
        <is>
          <t>Organiser et développer la diffusion de l'offre</t>
        </is>
      </c>
      <c r="E14" s="2" t="n">
        <v>35</v>
      </c>
      <c r="F14" s="2" t="inlineStr"/>
      <c r="G14" s="2">
        <f>IF(F14="","",F14-E14)</f>
        <v/>
      </c>
      <c r="H14" s="2" t="inlineStr"/>
    </row>
    <row r="15">
      <c r="A15" s="2" t="inlineStr">
        <is>
          <t>S9</t>
        </is>
      </c>
      <c r="B15" s="2" t="inlineStr">
        <is>
          <t>Centre</t>
        </is>
      </c>
      <c r="C15" s="2" t="inlineStr">
        <is>
          <t>M2.2</t>
        </is>
      </c>
      <c r="D15" s="2" t="inlineStr">
        <is>
          <t>Organiser et développer la diffusion de l'offre</t>
        </is>
      </c>
      <c r="E15" s="2" t="n">
        <v>21</v>
      </c>
      <c r="F15" s="2" t="inlineStr"/>
      <c r="G15" s="2">
        <f>IF(F15="","",F15-E15)</f>
        <v/>
      </c>
      <c r="H15" s="2" t="inlineStr"/>
    </row>
    <row r="16">
      <c r="A16" s="2" t="inlineStr">
        <is>
          <t>S9</t>
        </is>
      </c>
      <c r="B16" s="2" t="inlineStr">
        <is>
          <t>Centre</t>
        </is>
      </c>
      <c r="C16" s="2" t="inlineStr">
        <is>
          <t>T2</t>
        </is>
      </c>
      <c r="D16" s="2" t="inlineStr">
        <is>
          <t>Anglais professionnel de base</t>
        </is>
      </c>
      <c r="E16" s="2" t="n">
        <v>14</v>
      </c>
      <c r="F16" s="2" t="inlineStr"/>
      <c r="G16" s="2">
        <f>IF(F16="","",F16-E16)</f>
        <v/>
      </c>
      <c r="H16" s="2" t="inlineStr"/>
    </row>
    <row r="17">
      <c r="A17" s="2" t="inlineStr">
        <is>
          <t>S10</t>
        </is>
      </c>
      <c r="B17" s="2" t="inlineStr">
        <is>
          <t>Entreprise</t>
        </is>
      </c>
      <c r="C17" s="2" t="inlineStr">
        <is>
          <t>PAE</t>
        </is>
      </c>
      <c r="D17" s="2" t="inlineStr">
        <is>
          <t>Période en entreprise</t>
        </is>
      </c>
      <c r="E17" s="2" t="n">
        <v>35</v>
      </c>
      <c r="F17" s="2" t="inlineStr"/>
      <c r="G17" s="2">
        <f>IF(F17="","",F17-E17)</f>
        <v/>
      </c>
      <c r="H17" s="2" t="inlineStr"/>
    </row>
    <row r="18">
      <c r="A18" s="2" t="inlineStr">
        <is>
          <t>S11</t>
        </is>
      </c>
      <c r="B18" s="2" t="inlineStr">
        <is>
          <t>Entreprise</t>
        </is>
      </c>
      <c r="C18" s="2" t="inlineStr">
        <is>
          <t>PAE</t>
        </is>
      </c>
      <c r="D18" s="2" t="inlineStr">
        <is>
          <t>Période en entreprise</t>
        </is>
      </c>
      <c r="E18" s="2" t="n">
        <v>35</v>
      </c>
      <c r="F18" s="2" t="inlineStr"/>
      <c r="G18" s="2">
        <f>IF(F18="","",F18-E18)</f>
        <v/>
      </c>
      <c r="H18" s="2" t="inlineStr"/>
    </row>
    <row r="19">
      <c r="A19" s="2" t="inlineStr">
        <is>
          <t>S12</t>
        </is>
      </c>
      <c r="B19" s="2" t="inlineStr">
        <is>
          <t>Entreprise</t>
        </is>
      </c>
      <c r="C19" s="2" t="inlineStr">
        <is>
          <t>PAE</t>
        </is>
      </c>
      <c r="D19" s="2" t="inlineStr">
        <is>
          <t>Période en entreprise</t>
        </is>
      </c>
      <c r="E19" s="2" t="n">
        <v>35</v>
      </c>
      <c r="F19" s="2" t="inlineStr"/>
      <c r="G19" s="2">
        <f>IF(F19="","",F19-E19)</f>
        <v/>
      </c>
      <c r="H19" s="2" t="inlineStr"/>
    </row>
    <row r="20">
      <c r="A20" s="2" t="inlineStr">
        <is>
          <t>S13</t>
        </is>
      </c>
      <c r="B20" s="2" t="inlineStr">
        <is>
          <t>Centre</t>
        </is>
      </c>
      <c r="C20" s="2" t="inlineStr">
        <is>
          <t>M2.3</t>
        </is>
      </c>
      <c r="D20" s="2" t="inlineStr">
        <is>
          <t>Organiser la production</t>
        </is>
      </c>
      <c r="E20" s="2" t="n">
        <v>35</v>
      </c>
      <c r="F20" s="2" t="inlineStr"/>
      <c r="G20" s="2">
        <f>IF(F20="","",F20-E20)</f>
        <v/>
      </c>
      <c r="H20" s="2" t="inlineStr"/>
    </row>
    <row r="21">
      <c r="A21" s="2" t="inlineStr">
        <is>
          <t>S14</t>
        </is>
      </c>
      <c r="B21" s="2" t="inlineStr">
        <is>
          <t>Centre</t>
        </is>
      </c>
      <c r="C21" s="2" t="inlineStr">
        <is>
          <t>M2.3</t>
        </is>
      </c>
      <c r="D21" s="2" t="inlineStr">
        <is>
          <t>Organiser la production</t>
        </is>
      </c>
      <c r="E21" s="2" t="n">
        <v>21</v>
      </c>
      <c r="F21" s="2" t="inlineStr"/>
      <c r="G21" s="2">
        <f>IF(F21="","",F21-E21)</f>
        <v/>
      </c>
      <c r="H21" s="2" t="inlineStr"/>
    </row>
    <row r="22">
      <c r="A22" s="2" t="inlineStr">
        <is>
          <t>S14</t>
        </is>
      </c>
      <c r="B22" s="2" t="inlineStr">
        <is>
          <t>Centre</t>
        </is>
      </c>
      <c r="C22" s="2" t="inlineStr">
        <is>
          <t>T1</t>
        </is>
      </c>
      <c r="D22" s="2" t="inlineStr">
        <is>
          <t>IA, données et gouvernance du dirigeant (module distinctif YEBA)</t>
        </is>
      </c>
      <c r="E22" s="2" t="n">
        <v>14</v>
      </c>
      <c r="F22" s="2" t="inlineStr"/>
      <c r="G22" s="2">
        <f>IF(F22="","",F22-E22)</f>
        <v/>
      </c>
      <c r="H22" s="2" t="inlineStr"/>
    </row>
    <row r="23">
      <c r="A23" s="2" t="inlineStr">
        <is>
          <t>S15</t>
        </is>
      </c>
      <c r="B23" s="2" t="inlineStr">
        <is>
          <t>Centre</t>
        </is>
      </c>
      <c r="C23" s="2" t="inlineStr">
        <is>
          <t>T1</t>
        </is>
      </c>
      <c r="D23" s="2" t="inlineStr">
        <is>
          <t>IA, données et gouvernance du dirigeant (module distinctif YEBA)</t>
        </is>
      </c>
      <c r="E23" s="2" t="n">
        <v>28</v>
      </c>
      <c r="F23" s="2" t="inlineStr"/>
      <c r="G23" s="2">
        <f>IF(F23="","",F23-E23)</f>
        <v/>
      </c>
      <c r="H23" s="2" t="inlineStr"/>
    </row>
    <row r="24">
      <c r="A24" s="2" t="inlineStr">
        <is>
          <t>S15</t>
        </is>
      </c>
      <c r="B24" s="2" t="inlineStr">
        <is>
          <t>Centre</t>
        </is>
      </c>
      <c r="C24" s="2" t="inlineStr">
        <is>
          <t>M3.1</t>
        </is>
      </c>
      <c r="D24" s="2" t="inlineStr">
        <is>
          <t>Analyser le bilan de la structure</t>
        </is>
      </c>
      <c r="E24" s="2" t="n">
        <v>7</v>
      </c>
      <c r="F24" s="2" t="inlineStr"/>
      <c r="G24" s="2">
        <f>IF(F24="","",F24-E24)</f>
        <v/>
      </c>
      <c r="H24" s="2" t="inlineStr"/>
    </row>
    <row r="25">
      <c r="A25" s="2" t="inlineStr">
        <is>
          <t>S16</t>
        </is>
      </c>
      <c r="B25" s="2" t="inlineStr">
        <is>
          <t>Centre</t>
        </is>
      </c>
      <c r="C25" s="2" t="inlineStr">
        <is>
          <t>M3.1</t>
        </is>
      </c>
      <c r="D25" s="2" t="inlineStr">
        <is>
          <t>Analyser le bilan de la structure</t>
        </is>
      </c>
      <c r="E25" s="2" t="n">
        <v>35</v>
      </c>
      <c r="F25" s="2" t="inlineStr"/>
      <c r="G25" s="2">
        <f>IF(F25="","",F25-E25)</f>
        <v/>
      </c>
      <c r="H25" s="2" t="inlineStr"/>
    </row>
    <row r="26">
      <c r="A26" s="2" t="inlineStr">
        <is>
          <t>S17</t>
        </is>
      </c>
      <c r="B26" s="2" t="inlineStr">
        <is>
          <t>Centre</t>
        </is>
      </c>
      <c r="C26" s="2" t="inlineStr">
        <is>
          <t>M3.1</t>
        </is>
      </c>
      <c r="D26" s="2" t="inlineStr">
        <is>
          <t>Analyser le bilan de la structure</t>
        </is>
      </c>
      <c r="E26" s="2" t="n">
        <v>7</v>
      </c>
      <c r="F26" s="2" t="inlineStr"/>
      <c r="G26" s="2">
        <f>IF(F26="","",F26-E26)</f>
        <v/>
      </c>
      <c r="H26" s="2" t="inlineStr"/>
    </row>
    <row r="27">
      <c r="A27" s="2" t="inlineStr">
        <is>
          <t>S17</t>
        </is>
      </c>
      <c r="B27" s="2" t="inlineStr">
        <is>
          <t>Centre</t>
        </is>
      </c>
      <c r="C27" s="2" t="inlineStr">
        <is>
          <t>M3.2</t>
        </is>
      </c>
      <c r="D27" s="2" t="inlineStr">
        <is>
          <t>Analyser le compte de résultat de la structure</t>
        </is>
      </c>
      <c r="E27" s="2" t="n">
        <v>28</v>
      </c>
      <c r="F27" s="2" t="inlineStr"/>
      <c r="G27" s="2">
        <f>IF(F27="","",F27-E27)</f>
        <v/>
      </c>
      <c r="H27" s="2" t="inlineStr"/>
    </row>
    <row r="28">
      <c r="A28" s="2" t="inlineStr">
        <is>
          <t>S18</t>
        </is>
      </c>
      <c r="B28" s="2" t="inlineStr">
        <is>
          <t>Centre</t>
        </is>
      </c>
      <c r="C28" s="2" t="inlineStr">
        <is>
          <t>M3.2</t>
        </is>
      </c>
      <c r="D28" s="2" t="inlineStr">
        <is>
          <t>Analyser le compte de résultat de la structure</t>
        </is>
      </c>
      <c r="E28" s="2" t="n">
        <v>21</v>
      </c>
      <c r="F28" s="2" t="inlineStr"/>
      <c r="G28" s="2">
        <f>IF(F28="","",F28-E28)</f>
        <v/>
      </c>
      <c r="H28" s="2" t="inlineStr"/>
    </row>
    <row r="29">
      <c r="A29" s="2" t="inlineStr">
        <is>
          <t>S18</t>
        </is>
      </c>
      <c r="B29" s="2" t="inlineStr">
        <is>
          <t>Centre</t>
        </is>
      </c>
      <c r="C29" s="2" t="inlineStr">
        <is>
          <t>M3.3</t>
        </is>
      </c>
      <c r="D29" s="2" t="inlineStr">
        <is>
          <t>Rédiger le rapport d'activité de la structure</t>
        </is>
      </c>
      <c r="E29" s="2" t="n">
        <v>14</v>
      </c>
      <c r="F29" s="2" t="inlineStr"/>
      <c r="G29" s="2">
        <f>IF(F29="","",F29-E29)</f>
        <v/>
      </c>
      <c r="H29" s="2" t="inlineStr"/>
    </row>
    <row r="30">
      <c r="A30" s="2" t="inlineStr">
        <is>
          <t>S19</t>
        </is>
      </c>
      <c r="B30" s="2" t="inlineStr">
        <is>
          <t>Centre</t>
        </is>
      </c>
      <c r="C30" s="2" t="inlineStr">
        <is>
          <t>M3.3</t>
        </is>
      </c>
      <c r="D30" s="2" t="inlineStr">
        <is>
          <t>Rédiger le rapport d'activité de la structure</t>
        </is>
      </c>
      <c r="E30" s="2" t="n">
        <v>28</v>
      </c>
      <c r="F30" s="2" t="inlineStr"/>
      <c r="G30" s="2">
        <f>IF(F30="","",F30-E30)</f>
        <v/>
      </c>
      <c r="H30" s="2" t="inlineStr"/>
    </row>
    <row r="31">
      <c r="A31" s="2" t="inlineStr">
        <is>
          <t>S20</t>
        </is>
      </c>
      <c r="B31" s="2" t="inlineStr">
        <is>
          <t>Entreprise</t>
        </is>
      </c>
      <c r="C31" s="2" t="inlineStr">
        <is>
          <t>PAE</t>
        </is>
      </c>
      <c r="D31" s="2" t="inlineStr">
        <is>
          <t>Période en entreprise</t>
        </is>
      </c>
      <c r="E31" s="2" t="n">
        <v>35</v>
      </c>
      <c r="F31" s="2" t="inlineStr"/>
      <c r="G31" s="2">
        <f>IF(F31="","",F31-E31)</f>
        <v/>
      </c>
      <c r="H31" s="2" t="inlineStr"/>
    </row>
    <row r="32">
      <c r="A32" s="2" t="inlineStr">
        <is>
          <t>S21</t>
        </is>
      </c>
      <c r="B32" s="2" t="inlineStr">
        <is>
          <t>Entreprise</t>
        </is>
      </c>
      <c r="C32" s="2" t="inlineStr">
        <is>
          <t>PAE</t>
        </is>
      </c>
      <c r="D32" s="2" t="inlineStr">
        <is>
          <t>Période en entreprise</t>
        </is>
      </c>
      <c r="E32" s="2" t="n">
        <v>35</v>
      </c>
      <c r="F32" s="2" t="inlineStr"/>
      <c r="G32" s="2">
        <f>IF(F32="","",F32-E32)</f>
        <v/>
      </c>
      <c r="H32" s="2" t="inlineStr"/>
    </row>
    <row r="33">
      <c r="A33" s="2" t="inlineStr">
        <is>
          <t>S22</t>
        </is>
      </c>
      <c r="B33" s="2" t="inlineStr">
        <is>
          <t>Entreprise</t>
        </is>
      </c>
      <c r="C33" s="2" t="inlineStr">
        <is>
          <t>PAE</t>
        </is>
      </c>
      <c r="D33" s="2" t="inlineStr">
        <is>
          <t>Période en entreprise</t>
        </is>
      </c>
      <c r="E33" s="2" t="n">
        <v>35</v>
      </c>
      <c r="F33" s="2" t="inlineStr"/>
      <c r="G33" s="2">
        <f>IF(F33="","",F33-E33)</f>
        <v/>
      </c>
      <c r="H33" s="2" t="inlineStr"/>
    </row>
    <row r="34">
      <c r="A34" s="2" t="inlineStr">
        <is>
          <t>S23</t>
        </is>
      </c>
      <c r="B34" s="2" t="inlineStr">
        <is>
          <t>Centre</t>
        </is>
      </c>
      <c r="C34" s="2" t="inlineStr">
        <is>
          <t>T3</t>
        </is>
      </c>
      <c r="D34" s="2" t="inlineStr">
        <is>
          <t>Dossier de projet, dossier professionnel et diaporama</t>
        </is>
      </c>
      <c r="E34" s="2" t="n">
        <v>21</v>
      </c>
      <c r="F34" s="2" t="inlineStr"/>
      <c r="G34" s="2">
        <f>IF(F34="","",F34-E34)</f>
        <v/>
      </c>
      <c r="H34" s="2" t="inlineStr"/>
    </row>
    <row r="35">
      <c r="A35" s="2" t="inlineStr">
        <is>
          <t>S23</t>
        </is>
      </c>
      <c r="B35" s="2" t="inlineStr">
        <is>
          <t>Centre</t>
        </is>
      </c>
      <c r="C35" s="2" t="inlineStr">
        <is>
          <t>T5</t>
        </is>
      </c>
      <c r="D35" s="2" t="inlineStr">
        <is>
          <t>Entraînement à l'épreuve du titre</t>
        </is>
      </c>
      <c r="E35" s="2" t="n">
        <v>14</v>
      </c>
      <c r="F35" s="2" t="inlineStr"/>
      <c r="G35" s="2">
        <f>IF(F35="","",F35-E35)</f>
        <v/>
      </c>
      <c r="H35" s="2" t="inlineStr"/>
    </row>
    <row r="36">
      <c r="A36" s="2" t="inlineStr">
        <is>
          <t>S24</t>
        </is>
      </c>
      <c r="B36" s="2" t="inlineStr">
        <is>
          <t>Centre</t>
        </is>
      </c>
      <c r="C36" s="2" t="inlineStr">
        <is>
          <t>T6</t>
        </is>
      </c>
      <c r="D36" s="2" t="inlineStr">
        <is>
          <t>Suivi individuel et prévention du décrochage</t>
        </is>
      </c>
      <c r="E36" s="2" t="n">
        <v>7</v>
      </c>
      <c r="F36" s="2" t="inlineStr"/>
      <c r="G36" s="2">
        <f>IF(F36="","",F36-E36)</f>
        <v/>
      </c>
      <c r="H36" s="2" t="inlineStr"/>
    </row>
    <row r="37">
      <c r="D37" s="3" t="inlineStr">
        <is>
          <t>TOTAL</t>
        </is>
      </c>
      <c r="E37" s="3">
        <f>SUM(E2:E36)</f>
        <v/>
      </c>
      <c r="F37">
        <f>SUM(F2:F36)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30" customWidth="1" min="4" max="4"/>
  </cols>
  <sheetData>
    <row r="1">
      <c r="A1" s="1" t="inlineStr">
        <is>
          <t>Indicateur</t>
        </is>
      </c>
      <c r="B1" s="1" t="inlineStr">
        <is>
          <t>MEM</t>
        </is>
      </c>
      <c r="C1" s="1" t="inlineStr">
        <is>
          <t>RPMS</t>
        </is>
      </c>
      <c r="D1" s="1" t="inlineStr">
        <is>
          <t>Formule / source</t>
        </is>
      </c>
    </row>
    <row r="2">
      <c r="A2" s="2" t="inlineStr">
        <is>
          <t>Inscrits</t>
        </is>
      </c>
      <c r="B2" s="2" t="inlineStr"/>
      <c r="C2" s="2" t="inlineStr"/>
      <c r="D2" s="2" t="inlineStr">
        <is>
          <t>Saisie</t>
        </is>
      </c>
    </row>
    <row r="3">
      <c r="A3" s="2" t="inlineStr">
        <is>
          <t>Entrés en formation</t>
        </is>
      </c>
      <c r="B3" s="2" t="inlineStr"/>
      <c r="C3" s="2" t="inlineStr"/>
      <c r="D3" s="2" t="inlineStr">
        <is>
          <t>Saisie</t>
        </is>
      </c>
    </row>
    <row r="4">
      <c r="A4" s="2" t="inlineStr">
        <is>
          <t>Abandons</t>
        </is>
      </c>
      <c r="B4" s="2" t="inlineStr"/>
      <c r="C4" s="2" t="inlineStr"/>
      <c r="D4" s="2" t="inlineStr">
        <is>
          <t>Saisie</t>
        </is>
      </c>
    </row>
    <row r="5">
      <c r="A5" s="2" t="inlineStr">
        <is>
          <t>Taux d'abandon</t>
        </is>
      </c>
      <c r="B5" s="4">
        <f>IF(B3="","",B4/B3)</f>
        <v/>
      </c>
      <c r="C5" s="4">
        <f>IF(C3="","",C4/C3)</f>
        <v/>
      </c>
      <c r="D5" s="2" t="inlineStr">
        <is>
          <t>Abandons / entrés</t>
        </is>
      </c>
    </row>
    <row r="6">
      <c r="A6" s="2" t="inlineStr">
        <is>
          <t>Présentés à l'examen</t>
        </is>
      </c>
      <c r="B6" s="2" t="inlineStr"/>
      <c r="C6" s="2" t="inlineStr"/>
      <c r="D6" s="2" t="inlineStr">
        <is>
          <t>Saisie</t>
        </is>
      </c>
    </row>
    <row r="7">
      <c r="A7" s="2" t="inlineStr">
        <is>
          <t>Titres complets obtenus</t>
        </is>
      </c>
      <c r="B7" s="2" t="inlineStr"/>
      <c r="C7" s="2" t="inlineStr"/>
      <c r="D7" s="2" t="inlineStr">
        <is>
          <t>Saisie</t>
        </is>
      </c>
    </row>
    <row r="8">
      <c r="A8" s="2" t="inlineStr">
        <is>
          <t>Taux de réussite</t>
        </is>
      </c>
      <c r="B8" s="4">
        <f>IF(B6="","",B7/B6)</f>
        <v/>
      </c>
      <c r="C8" s="4">
        <f>IF(C6="","",C7/C6)</f>
        <v/>
      </c>
      <c r="D8" s="2" t="inlineStr">
        <is>
          <t>Titres / présentés</t>
        </is>
      </c>
    </row>
    <row r="9">
      <c r="A9" s="2" t="inlineStr">
        <is>
          <t>Satisfaction moyenne (sur 4)</t>
        </is>
      </c>
      <c r="B9" s="2" t="inlineStr"/>
      <c r="C9" s="2" t="inlineStr"/>
      <c r="D9" s="2" t="inlineStr">
        <is>
          <t>EVAL-10</t>
        </is>
      </c>
    </row>
    <row r="10">
      <c r="A10" s="2" t="inlineStr">
        <is>
          <t>En emploi à 6 mois</t>
        </is>
      </c>
      <c r="B10" s="2" t="inlineStr"/>
      <c r="C10" s="2" t="inlineStr"/>
      <c r="D10" s="2" t="inlineStr">
        <is>
          <t>Enquête</t>
        </is>
      </c>
    </row>
    <row r="11">
      <c r="A11" s="2" t="inlineStr">
        <is>
          <t>Taux d'insertion à 6 mois</t>
        </is>
      </c>
      <c r="B11" s="4">
        <f>IF(B3="","",B10/(B3-B4))</f>
        <v/>
      </c>
      <c r="C11" s="4">
        <f>IF(C3="","",C10/(C3-C4))</f>
        <v/>
      </c>
      <c r="D11" s="2" t="inlineStr">
        <is>
          <t>En emploi / sortants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2" customWidth="1" min="5" max="5"/>
    <col width="12" customWidth="1" min="6" max="6"/>
    <col width="40" customWidth="1" min="7" max="7"/>
    <col width="20" customWidth="1" min="8" max="8"/>
  </cols>
  <sheetData>
    <row r="1">
      <c r="A1" s="1" t="inlineStr">
        <is>
          <t>Date</t>
        </is>
      </c>
      <c r="B1" s="1" t="inlineStr">
        <is>
          <t>Stagiaire (initiales)</t>
        </is>
      </c>
      <c r="C1" s="1" t="inlineStr">
        <is>
          <t>Session</t>
        </is>
      </c>
      <c r="D1" s="1" t="inlineStr">
        <is>
          <t>Type</t>
        </is>
      </c>
      <c r="E1" s="1" t="inlineStr">
        <is>
          <t>Justifiée ?</t>
        </is>
      </c>
      <c r="F1" s="1" t="inlineStr">
        <is>
          <t>Contact le</t>
        </is>
      </c>
      <c r="G1" s="1" t="inlineStr">
        <is>
          <t>Action</t>
        </is>
      </c>
      <c r="H1" s="1" t="inlineStr">
        <is>
          <t>Partenaire mobilisé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2026-10-21T17:07:32Z</dcterms:created>
  <dcterms:modified xmlns:dcterms="http://purl.org/dc/terms/" xmlns:xsi="http://www.w3.org/2001/XMLSchema-instance" xsi:type="dcterms:W3CDTF">2026-10-21T17:07:32Z</dcterms:modified>
</cp:coreProperties>
</file>