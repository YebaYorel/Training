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'actions" sheetId="1" state="visible" r:id="rId1"/>
    <sheet xmlns:r="http://schemas.openxmlformats.org/officeDocument/2006/relationships" name="Budget MEM" sheetId="2" state="visible" r:id="rId2"/>
    <sheet xmlns:r="http://schemas.openxmlformats.org/officeDocument/2006/relationships" name="Budget RPMS" sheetId="3" state="visible" r:id="rId3"/>
    <sheet xmlns:r="http://schemas.openxmlformats.org/officeDocument/2006/relationships" name="Heures MEM" sheetId="4" state="visible" r:id="rId4"/>
    <sheet xmlns:r="http://schemas.openxmlformats.org/officeDocument/2006/relationships" name="Heures RPMS" sheetId="5" state="visible" r:id="rId5"/>
    <sheet xmlns:r="http://schemas.openxmlformats.org/officeDocument/2006/relationships" name="Indicateurs" sheetId="6" state="visible" r:id="rId6"/>
    <sheet xmlns:r="http://schemas.openxmlformats.org/officeDocument/2006/relationships" name="Abs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 &quot;€&quot;"/>
    <numFmt numFmtId="167" formatCode="#,##0.00 &quot;€&quot;"/>
    <numFmt numFmtId="168" formatCode="m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  <font>
      <name val="Arial"/>
      <b val="1"/>
      <color rgb="001B3A6B"/>
      <sz val="14"/>
    </font>
    <font>
      <name val="Arial"/>
      <i val="1"/>
      <sz val="11"/>
    </font>
    <font>
      <name val="Arial"/>
      <i val="1"/>
      <color rgb="001B3A6B"/>
      <sz val="11"/>
    </font>
    <font>
      <name val="Arial"/>
      <b val="1"/>
      <color rgb="001B3A6B"/>
      <sz val="12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BF6E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2" fillId="3" borderId="1" applyAlignment="1" pivotButton="0" quotePrefix="0" xfId="0">
      <alignment vertical="top" wrapText="1"/>
    </xf>
    <xf numFmtId="166" fontId="2" fillId="3" borderId="1" applyAlignment="1" pivotButton="0" quotePrefix="0" xfId="0">
      <alignment vertical="top" wrapText="1"/>
    </xf>
    <xf numFmtId="1" fontId="2" fillId="4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7" fontId="2" fillId="4" borderId="1" applyAlignment="1" pivotButton="0" quotePrefix="0" xfId="0">
      <alignment vertical="top" wrapText="1"/>
    </xf>
    <xf numFmtId="0" fontId="6" fillId="0" borderId="0" pivotButton="0" quotePrefix="0" xfId="0"/>
    <xf numFmtId="168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9" fontId="2" fillId="3" borderId="0" pivotButton="0" quotePrefix="0" xfId="0"/>
    <xf numFmtId="0" fontId="2" fillId="3" borderId="0" pivotButton="0" quotePrefix="0" xfId="0"/>
    <xf numFmtId="0" fontId="2" fillId="3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0" customWidth="1" min="3" max="3"/>
    <col width="14" customWidth="1" min="4" max="4"/>
    <col width="30" customWidth="1" min="5" max="5"/>
  </cols>
  <sheetData>
    <row r="1">
      <c r="A1" s="1" t="inlineStr">
        <is>
          <t>Date</t>
        </is>
      </c>
      <c r="B1" s="1" t="inlineStr">
        <is>
          <t>Domaine</t>
        </is>
      </c>
      <c r="C1" s="1" t="inlineStr">
        <is>
          <t>Action</t>
        </is>
      </c>
      <c r="D1" s="1" t="inlineStr">
        <is>
          <t>Fait le</t>
        </is>
      </c>
      <c r="E1" s="1" t="inlineStr">
        <is>
          <t>Preuve (lien ou emplacement)</t>
        </is>
      </c>
    </row>
    <row r="2">
      <c r="A2" s="2" t="n">
        <v>46325</v>
      </c>
      <c r="B2" s="3" t="inlineStr">
        <is>
          <t>DEETS</t>
        </is>
      </c>
      <c r="C2" s="3" t="inlineStr">
        <is>
          <t>Envoyer la réponse version A à la DEETS (date limite pratique : vendredi 30 octobre 2026)</t>
        </is>
      </c>
      <c r="D2" s="3" t="inlineStr"/>
      <c r="E2" s="3" t="inlineStr"/>
    </row>
    <row r="3">
      <c r="A3" s="2" t="n">
        <v>46332</v>
      </c>
      <c r="B3" s="3" t="inlineStr">
        <is>
          <t>Qualité</t>
        </is>
      </c>
      <c r="C3" s="3" t="inlineStr">
        <is>
          <t>Corriger dans Airtable les écarts listés dans SOC-04 (catégories et validité Qualiopi, TVA, assurance, mention EI)</t>
        </is>
      </c>
      <c r="D3" s="3" t="inlineStr"/>
      <c r="E3" s="3" t="inlineStr"/>
    </row>
    <row r="4">
      <c r="A4" s="2" t="n">
        <v>46339</v>
      </c>
      <c r="B4" s="3" t="inlineStr">
        <is>
          <t>Assurance</t>
        </is>
      </c>
      <c r="C4" s="3" t="inlineStr">
        <is>
          <t>Faire confirmer par écrit au courtier ELASSUR que le module IA et le conseil sont couverts (exclusion « intelligence artificielle »)</t>
        </is>
      </c>
      <c r="D4" s="3" t="inlineStr"/>
      <c r="E4" s="3" t="inlineStr"/>
    </row>
    <row r="5">
      <c r="A5" s="2" t="n">
        <v>46339</v>
      </c>
      <c r="B5" s="3" t="inlineStr">
        <is>
          <t>Référentiels</t>
        </is>
      </c>
      <c r="C5" s="3" t="inlineStr">
        <is>
          <t>Obtenir le REAC et le référentiel d'évaluation RPMS millésime 08 (DEETS ou ministère du Travail)</t>
        </is>
      </c>
      <c r="D5" s="3" t="inlineStr"/>
      <c r="E5" s="3" t="inlineStr"/>
    </row>
    <row r="6">
      <c r="A6" s="2" t="n">
        <v>46346</v>
      </c>
      <c r="B6" s="3" t="inlineStr">
        <is>
          <t>Examen</t>
        </is>
      </c>
      <c r="C6" s="3" t="inlineStr">
        <is>
          <t>Décider : agrément de centre d'examen ou partenariat avec un centre agréé (document AGR-03)</t>
        </is>
      </c>
      <c r="D6" s="3" t="inlineStr"/>
      <c r="E6" s="3" t="inlineStr"/>
    </row>
    <row r="7">
      <c r="A7" s="2" t="n">
        <v>46353</v>
      </c>
      <c r="B7" s="3" t="inlineStr">
        <is>
          <t>Fiscalité</t>
        </is>
      </c>
      <c r="C7" s="3" t="inlineStr">
        <is>
          <t>Avec l'expert-comptable : seuil de franchise de TVA applicable à La Réunion et demande de l'attestation 3511-SD avant les premières recettes des parcours</t>
        </is>
      </c>
      <c r="D7" s="3" t="inlineStr"/>
      <c r="E7" s="3" t="inlineStr"/>
    </row>
    <row r="8">
      <c r="A8" s="2" t="n">
        <v>46353</v>
      </c>
      <c r="B8" s="3" t="inlineStr">
        <is>
          <t>Locaux</t>
        </is>
      </c>
      <c r="C8" s="3" t="inlineStr">
        <is>
          <t>Réserver au Secrétariat Center les 80 journées de la promotion MEM (100 € par jour)</t>
        </is>
      </c>
      <c r="D8" s="3" t="inlineStr"/>
      <c r="E8" s="3" t="inlineStr"/>
    </row>
    <row r="9">
      <c r="A9" s="2" t="n">
        <v>46356</v>
      </c>
      <c r="B9" s="3" t="inlineStr">
        <is>
          <t>Sécurité</t>
        </is>
      </c>
      <c r="C9" s="3" t="inlineStr">
        <is>
          <t>Plan de continuité cyclonique : contacts, formation à distance, procédure d'information des stagiaires</t>
        </is>
      </c>
      <c r="D9" s="3" t="inlineStr"/>
      <c r="E9" s="3" t="inlineStr"/>
    </row>
    <row r="10">
      <c r="A10" s="2" t="n">
        <v>46357</v>
      </c>
      <c r="B10" s="3" t="inlineStr">
        <is>
          <t>Offre</t>
        </is>
      </c>
      <c r="C10" s="3" t="inlineStr">
        <is>
          <t>MEM — Promotion 1 : publier l'offre (Carif-Oref Réunion, KAIROS, Mon Compte Formation, site) ; informer Missions Locales et agences France Travail</t>
        </is>
      </c>
      <c r="D10" s="3" t="inlineStr"/>
      <c r="E10" s="3" t="inlineStr"/>
    </row>
    <row r="11">
      <c r="A11" s="2" t="n">
        <v>46367</v>
      </c>
      <c r="B11" s="3" t="inlineStr">
        <is>
          <t>Juridique</t>
        </is>
      </c>
      <c r="C11" s="3" t="inlineStr">
        <is>
          <t>Désigner un médiateur de la consommation (obligatoire avant tout contrat avec un particulier)</t>
        </is>
      </c>
      <c r="D11" s="3" t="inlineStr"/>
      <c r="E11" s="3" t="inlineStr"/>
    </row>
    <row r="12">
      <c r="A12" s="2" t="n">
        <v>46391</v>
      </c>
      <c r="B12" s="3" t="inlineStr">
        <is>
          <t>Partenaires</t>
        </is>
      </c>
      <c r="C12" s="3" t="inlineStr">
        <is>
          <t>MEM — Promotion 1 : constituer le vivier d'entreprises d'accueil pour les périodes en entreprise</t>
        </is>
      </c>
      <c r="D12" s="3" t="inlineStr"/>
      <c r="E12" s="3" t="inlineStr"/>
    </row>
    <row r="13">
      <c r="A13" s="2" t="n">
        <v>46391</v>
      </c>
      <c r="B13" s="3" t="inlineStr">
        <is>
          <t>Recrutement</t>
        </is>
      </c>
      <c r="C13" s="3" t="inlineStr">
        <is>
          <t>MEM — Promotion 1 : 1re information collective</t>
        </is>
      </c>
      <c r="D13" s="3" t="inlineStr"/>
      <c r="E13" s="3" t="inlineStr"/>
    </row>
    <row r="14">
      <c r="A14" s="2" t="n">
        <v>46402</v>
      </c>
      <c r="B14" s="3" t="inlineStr">
        <is>
          <t>Handicap</t>
        </is>
      </c>
      <c r="C14" s="3" t="inlineStr">
        <is>
          <t>Formaliser une convention ou un contact référencé avec l'Agefiph Océan Indien ou la Ressource Handicap Formation</t>
        </is>
      </c>
      <c r="D14" s="3" t="inlineStr"/>
      <c r="E14" s="3" t="inlineStr"/>
    </row>
    <row r="15">
      <c r="A15" s="2" t="n">
        <v>46412</v>
      </c>
      <c r="B15" s="3" t="inlineStr">
        <is>
          <t>Examen</t>
        </is>
      </c>
      <c r="C15" s="3" t="inlineStr">
        <is>
          <t>MEM — Promotion 1 : déposer la demande d'agrément de session (démarche en ligne DEETS 974) ou signer la convention avec le centre agréé</t>
        </is>
      </c>
      <c r="D15" s="3" t="inlineStr"/>
      <c r="E15" s="3" t="inlineStr"/>
    </row>
    <row r="16">
      <c r="A16" s="2" t="n">
        <v>46419</v>
      </c>
      <c r="B16" s="3" t="inlineStr">
        <is>
          <t>IA Act</t>
        </is>
      </c>
      <c r="C16" s="3" t="inlineStr">
        <is>
          <t>Former l'équipe à la maîtrise de l'IA (article 4) et faire signer la charte IA</t>
        </is>
      </c>
      <c r="D16" s="3" t="inlineStr"/>
      <c r="E16" s="3" t="inlineStr"/>
    </row>
    <row r="17">
      <c r="A17" s="2" t="n">
        <v>46419</v>
      </c>
      <c r="B17" s="3" t="inlineStr">
        <is>
          <t>Recrutement</t>
        </is>
      </c>
      <c r="C17" s="3" t="inlineStr">
        <is>
          <t>MEM — Promotion 1 : 2e information collective, entretiens, décisions d'admission, accords de financement</t>
        </is>
      </c>
      <c r="D17" s="3" t="inlineStr"/>
      <c r="E17" s="3" t="inlineStr"/>
    </row>
    <row r="18">
      <c r="A18" s="2" t="n">
        <v>46430</v>
      </c>
      <c r="B18" s="3" t="inlineStr">
        <is>
          <t>Locaux</t>
        </is>
      </c>
      <c r="C18" s="3" t="inlineStr">
        <is>
          <t>Remplir la fiche site tiers YEBA-DOC-15 pour le Secrétariat Center (sécurité, évacuation, accessibilité)</t>
        </is>
      </c>
      <c r="D18" s="3" t="inlineStr"/>
      <c r="E18" s="3" t="inlineStr"/>
    </row>
    <row r="19">
      <c r="A19" s="2" t="n">
        <v>46433</v>
      </c>
      <c r="B19" s="3" t="inlineStr">
        <is>
          <t>Administratif</t>
        </is>
      </c>
      <c r="C19" s="3" t="inlineStr">
        <is>
          <t>MEM — Promotion 1 : envoyer convocations, livret d'accueil, règlement intérieur, programme</t>
        </is>
      </c>
      <c r="D19" s="3" t="inlineStr"/>
      <c r="E19" s="3" t="inlineStr"/>
    </row>
    <row r="20">
      <c r="A20" s="2" t="n">
        <v>46447</v>
      </c>
      <c r="B20" s="3" t="inlineStr">
        <is>
          <t>Formation</t>
        </is>
      </c>
      <c r="C20" s="3" t="inlineStr">
        <is>
          <t>MEM — Promotion 1 : démarrage — attestations d'entrée, déclarations d'entrée sur les plateformes des financeurs</t>
        </is>
      </c>
      <c r="D20" s="3" t="inlineStr"/>
      <c r="E20" s="3" t="inlineStr"/>
    </row>
    <row r="21">
      <c r="A21" s="2" t="n">
        <v>46450</v>
      </c>
      <c r="B21" s="3" t="inlineStr">
        <is>
          <t>Formation</t>
        </is>
      </c>
      <c r="C21" s="3" t="inlineStr">
        <is>
          <t>MEM — Promotion 1 : élection des délégués des stagiaires (entre la 20e et la 40e heure)</t>
        </is>
      </c>
      <c r="D21" s="3" t="inlineStr"/>
      <c r="E21" s="3" t="inlineStr"/>
    </row>
    <row r="22">
      <c r="A22" s="2" t="n">
        <v>46461</v>
      </c>
      <c r="B22" s="3" t="inlineStr">
        <is>
          <t>Qualité</t>
        </is>
      </c>
      <c r="C22" s="3" t="inlineStr">
        <is>
          <t>Préparer l'audit de surveillance Qualiopi (fenêtre du 17/04/2027 au 17/12/2027) : matrice QUA-02, preuves de la promotion MEM</t>
        </is>
      </c>
      <c r="D22" s="3" t="inlineStr"/>
      <c r="E22" s="3" t="inlineStr"/>
    </row>
    <row r="23">
      <c r="A23" s="2" t="n">
        <v>46477</v>
      </c>
      <c r="B23" s="3" t="inlineStr">
        <is>
          <t>Obligation</t>
        </is>
      </c>
      <c r="C23" s="3" t="inlineStr">
        <is>
          <t>Renouveler l'attestation de vigilance URSSAF (tous les 6 mois)</t>
        </is>
      </c>
      <c r="D23" s="3" t="inlineStr"/>
      <c r="E23" s="3" t="inlineStr"/>
    </row>
    <row r="24">
      <c r="A24" s="2" t="n">
        <v>46505</v>
      </c>
      <c r="B24" s="3" t="inlineStr">
        <is>
          <t>Entreprise</t>
        </is>
      </c>
      <c r="C24" s="3" t="inlineStr">
        <is>
          <t>MEM — Promotion 1 : conventions de la période en entreprise n° 1 signées</t>
        </is>
      </c>
      <c r="D24" s="3" t="inlineStr"/>
      <c r="E24" s="3" t="inlineStr"/>
    </row>
    <row r="25">
      <c r="A25" s="2" t="n">
        <v>46507</v>
      </c>
      <c r="B25" s="3" t="inlineStr">
        <is>
          <t>RGPD</t>
        </is>
      </c>
      <c r="C25" s="3" t="inlineStr">
        <is>
          <t>Revue annuelle du registre des traitements et purge des données échues</t>
        </is>
      </c>
      <c r="D25" s="3" t="inlineStr"/>
      <c r="E25" s="3" t="inlineStr"/>
    </row>
    <row r="26">
      <c r="A26" s="2" t="n">
        <v>46533</v>
      </c>
      <c r="B26" s="3" t="inlineStr">
        <is>
          <t>Entreprise</t>
        </is>
      </c>
      <c r="C26" s="3" t="inlineStr">
        <is>
          <t>MEM — Promotion 1 : appel ou visite des tuteurs (période n° 1)</t>
        </is>
      </c>
      <c r="D26" s="3" t="inlineStr"/>
      <c r="E26" s="3" t="inlineStr"/>
    </row>
    <row r="27">
      <c r="A27" s="2" t="n">
        <v>46538</v>
      </c>
      <c r="B27" s="3" t="inlineStr">
        <is>
          <t>Obligation</t>
        </is>
      </c>
      <c r="C27" s="3" t="inlineStr">
        <is>
          <t>Déposer le bilan pédagogique et financier de 2026 (Mon Activité Formation)</t>
        </is>
      </c>
      <c r="D27" s="3" t="inlineStr"/>
      <c r="E27" s="3" t="inlineStr"/>
    </row>
    <row r="28">
      <c r="A28" s="2" t="n">
        <v>46545</v>
      </c>
      <c r="B28" s="3" t="inlineStr">
        <is>
          <t>Offre</t>
        </is>
      </c>
      <c r="C28" s="3" t="inlineStr">
        <is>
          <t>RPMS — Promotion 1 : publier l'offre (Carif-Oref Réunion, KAIROS, Mon Compte Formation, site) ; informer Missions Locales et agences France Travail</t>
        </is>
      </c>
      <c r="D28" s="3" t="inlineStr"/>
      <c r="E28" s="3" t="inlineStr"/>
    </row>
    <row r="29">
      <c r="A29" s="2" t="n">
        <v>46569</v>
      </c>
      <c r="B29" s="3" t="inlineStr">
        <is>
          <t>Entreprise</t>
        </is>
      </c>
      <c r="C29" s="3" t="inlineStr">
        <is>
          <t>MEM — Promotion 1 : conventions de la période en entreprise n° 2 signées</t>
        </is>
      </c>
      <c r="D29" s="3" t="inlineStr"/>
      <c r="E29" s="3" t="inlineStr"/>
    </row>
    <row r="30">
      <c r="A30" s="2" t="n">
        <v>46574</v>
      </c>
      <c r="B30" s="3" t="inlineStr">
        <is>
          <t>Partenaires</t>
        </is>
      </c>
      <c r="C30" s="3" t="inlineStr">
        <is>
          <t>RPMS — Promotion 1 : constituer le vivier d'entreprises d'accueil pour les périodes en entreprise</t>
        </is>
      </c>
      <c r="D30" s="3" t="inlineStr"/>
      <c r="E30" s="3" t="inlineStr"/>
    </row>
    <row r="31">
      <c r="A31" s="2" t="n">
        <v>46574</v>
      </c>
      <c r="B31" s="3" t="inlineStr">
        <is>
          <t>Recrutement</t>
        </is>
      </c>
      <c r="C31" s="3" t="inlineStr">
        <is>
          <t>RPMS — Promotion 1 : 1re information collective</t>
        </is>
      </c>
      <c r="D31" s="3" t="inlineStr"/>
      <c r="E31" s="3" t="inlineStr"/>
    </row>
    <row r="32">
      <c r="A32" s="2" t="n">
        <v>46577</v>
      </c>
      <c r="B32" s="3" t="inlineStr">
        <is>
          <t>Assurance</t>
        </is>
      </c>
      <c r="C32" s="3" t="inlineStr">
        <is>
          <t>Décider du renouvellement de la RC Pro Hiscox (échéance 10/09/2027, préavis de 2 mois)</t>
        </is>
      </c>
      <c r="D32" s="3" t="inlineStr"/>
      <c r="E32" s="3" t="inlineStr"/>
    </row>
    <row r="33">
      <c r="A33" s="2" t="n">
        <v>46596</v>
      </c>
      <c r="B33" s="3" t="inlineStr">
        <is>
          <t>Entreprise</t>
        </is>
      </c>
      <c r="C33" s="3" t="inlineStr">
        <is>
          <t>MEM — Promotion 1 : appel ou visite des tuteurs (période n° 2)</t>
        </is>
      </c>
      <c r="D33" s="3" t="inlineStr"/>
      <c r="E33" s="3" t="inlineStr"/>
    </row>
    <row r="34">
      <c r="A34" s="2" t="n">
        <v>46605</v>
      </c>
      <c r="B34" s="3" t="inlineStr">
        <is>
          <t>Examen</t>
        </is>
      </c>
      <c r="C34" s="3" t="inlineStr">
        <is>
          <t>RPMS — Promotion 1 : déposer la demande d'agrément de session (démarche en ligne DEETS 974) ou signer la convention avec le centre agréé</t>
        </is>
      </c>
      <c r="D34" s="3" t="inlineStr"/>
      <c r="E34" s="3" t="inlineStr"/>
    </row>
    <row r="35">
      <c r="A35" s="2" t="n">
        <v>46605</v>
      </c>
      <c r="B35" s="3" t="inlineStr">
        <is>
          <t>Recrutement</t>
        </is>
      </c>
      <c r="C35" s="3" t="inlineStr">
        <is>
          <t>RPMS — Promotion 1 : 2e information collective, entretiens, décisions d'admission, accords de financement</t>
        </is>
      </c>
      <c r="D35" s="3" t="inlineStr"/>
      <c r="E35" s="3" t="inlineStr"/>
    </row>
    <row r="36">
      <c r="A36" s="2" t="n">
        <v>46608</v>
      </c>
      <c r="B36" s="3" t="inlineStr">
        <is>
          <t>Examen</t>
        </is>
      </c>
      <c r="C36" s="3" t="inlineStr">
        <is>
          <t>MEM — Promotion 1 : dossiers professionnels, productions et attestations de période en entreprise complets</t>
        </is>
      </c>
      <c r="D36" s="3" t="inlineStr"/>
      <c r="E36" s="3" t="inlineStr"/>
    </row>
    <row r="37">
      <c r="A37" s="2" t="n">
        <v>46618</v>
      </c>
      <c r="B37" s="3" t="inlineStr">
        <is>
          <t>Administratif</t>
        </is>
      </c>
      <c r="C37" s="3" t="inlineStr">
        <is>
          <t>MEM — Promotion 1 : évaluation à chaud, attestations de fin de formation, certificats de réalisation, facturation</t>
        </is>
      </c>
      <c r="D37" s="3" t="inlineStr"/>
      <c r="E37" s="3" t="inlineStr"/>
    </row>
    <row r="38">
      <c r="A38" s="2" t="n">
        <v>46622</v>
      </c>
      <c r="B38" s="3" t="inlineStr">
        <is>
          <t>Administratif</t>
        </is>
      </c>
      <c r="C38" s="3" t="inlineStr">
        <is>
          <t>RPMS — Promotion 1 : envoyer convocations, livret d'accueil, règlement intérieur, programme</t>
        </is>
      </c>
      <c r="D38" s="3" t="inlineStr"/>
      <c r="E38" s="3" t="inlineStr"/>
    </row>
    <row r="39">
      <c r="A39" s="2" t="n">
        <v>46622</v>
      </c>
      <c r="B39" s="3" t="inlineStr">
        <is>
          <t>Examen</t>
        </is>
      </c>
      <c r="C39" s="3" t="inlineStr">
        <is>
          <t>MEM — Promotion 1 : session de validation [À VÉRIFIER : date confirmée]</t>
        </is>
      </c>
      <c r="D39" s="3" t="inlineStr"/>
      <c r="E39" s="3" t="inlineStr"/>
    </row>
    <row r="40">
      <c r="A40" s="2" t="n">
        <v>46636</v>
      </c>
      <c r="B40" s="3" t="inlineStr">
        <is>
          <t>Formation</t>
        </is>
      </c>
      <c r="C40" s="3" t="inlineStr">
        <is>
          <t>RPMS — Promotion 1 : démarrage — attestations d'entrée, déclarations d'entrée sur les plateformes des financeurs</t>
        </is>
      </c>
      <c r="D40" s="3" t="inlineStr"/>
      <c r="E40" s="3" t="inlineStr"/>
    </row>
    <row r="41">
      <c r="A41" s="2" t="n">
        <v>46639</v>
      </c>
      <c r="B41" s="3" t="inlineStr">
        <is>
          <t>Formation</t>
        </is>
      </c>
      <c r="C41" s="3" t="inlineStr">
        <is>
          <t>RPMS — Promotion 1 : élection des délégués des stagiaires (entre la 20e et la 40e heure)</t>
        </is>
      </c>
      <c r="D41" s="3" t="inlineStr"/>
      <c r="E41" s="3" t="inlineStr"/>
    </row>
    <row r="42">
      <c r="A42" s="2" t="n">
        <v>46660</v>
      </c>
      <c r="B42" s="3" t="inlineStr">
        <is>
          <t>Obligation</t>
        </is>
      </c>
      <c r="C42" s="3" t="inlineStr">
        <is>
          <t>Renouveler l'attestation de vigilance URSSAF (tous les 6 mois)</t>
        </is>
      </c>
      <c r="D42" s="3" t="inlineStr"/>
      <c r="E42" s="3" t="inlineStr"/>
    </row>
    <row r="43">
      <c r="A43" s="2" t="n">
        <v>46687</v>
      </c>
      <c r="B43" s="3" t="inlineStr">
        <is>
          <t>Entreprise</t>
        </is>
      </c>
      <c r="C43" s="3" t="inlineStr">
        <is>
          <t>RPMS — Promotion 1 : conventions de la période en entreprise n° 1 signées</t>
        </is>
      </c>
      <c r="D43" s="3" t="inlineStr"/>
      <c r="E43" s="3" t="inlineStr"/>
    </row>
    <row r="44">
      <c r="A44" s="2" t="n">
        <v>46709</v>
      </c>
      <c r="B44" s="3" t="inlineStr">
        <is>
          <t>Qualité</t>
        </is>
      </c>
      <c r="C44" s="3" t="inlineStr">
        <is>
          <t>MEM — Promotion 1 : questionnaire à froid (3 mois)</t>
        </is>
      </c>
      <c r="D44" s="3" t="inlineStr"/>
      <c r="E44" s="3" t="inlineStr"/>
    </row>
    <row r="45">
      <c r="A45" s="2" t="n">
        <v>46713</v>
      </c>
      <c r="B45" s="3" t="inlineStr">
        <is>
          <t>Entreprise</t>
        </is>
      </c>
      <c r="C45" s="3" t="inlineStr">
        <is>
          <t>RPMS — Promotion 1 : appel ou visite des tuteurs (période n° 1)</t>
        </is>
      </c>
      <c r="D45" s="3" t="inlineStr"/>
      <c r="E45" s="3" t="inlineStr"/>
    </row>
    <row r="46">
      <c r="A46" s="2" t="n">
        <v>46771</v>
      </c>
      <c r="B46" s="3" t="inlineStr">
        <is>
          <t>Entreprise</t>
        </is>
      </c>
      <c r="C46" s="3" t="inlineStr">
        <is>
          <t>RPMS — Promotion 1 : conventions de la période en entreprise n° 2 signées</t>
        </is>
      </c>
      <c r="D46" s="3" t="inlineStr"/>
      <c r="E46" s="3" t="inlineStr"/>
    </row>
    <row r="47">
      <c r="A47" s="2" t="n">
        <v>46797</v>
      </c>
      <c r="B47" s="3" t="inlineStr">
        <is>
          <t>Entreprise</t>
        </is>
      </c>
      <c r="C47" s="3" t="inlineStr">
        <is>
          <t>RPMS — Promotion 1 : appel ou visite des tuteurs (période n° 2)</t>
        </is>
      </c>
      <c r="D47" s="3" t="inlineStr"/>
      <c r="E47" s="3" t="inlineStr"/>
    </row>
    <row r="48">
      <c r="A48" s="2" t="n">
        <v>46800</v>
      </c>
      <c r="B48" s="3" t="inlineStr">
        <is>
          <t>Qualité</t>
        </is>
      </c>
      <c r="C48" s="3" t="inlineStr">
        <is>
          <t>MEM — Promotion 1 : enquête d'insertion à 6 mois et mise à jour des résultats publiés</t>
        </is>
      </c>
      <c r="D48" s="3" t="inlineStr"/>
      <c r="E48" s="3" t="inlineStr"/>
    </row>
    <row r="49">
      <c r="A49" s="2" t="n">
        <v>46804</v>
      </c>
      <c r="B49" s="3" t="inlineStr">
        <is>
          <t>Examen</t>
        </is>
      </c>
      <c r="C49" s="3" t="inlineStr">
        <is>
          <t>RPMS — Promotion 1 : dossiers professionnels, productions et attestations de période en entreprise complets</t>
        </is>
      </c>
      <c r="D49" s="3" t="inlineStr"/>
      <c r="E49" s="3" t="inlineStr"/>
    </row>
    <row r="50">
      <c r="A50" s="2" t="n">
        <v>46812</v>
      </c>
      <c r="B50" s="3" t="inlineStr">
        <is>
          <t>Administratif</t>
        </is>
      </c>
      <c r="C50" s="3" t="inlineStr">
        <is>
          <t>RPMS — Promotion 1 : évaluation à chaud, attestations de fin de formation, certificats de réalisation, facturation</t>
        </is>
      </c>
      <c r="D50" s="3" t="inlineStr"/>
      <c r="E50" s="3" t="inlineStr"/>
    </row>
    <row r="51">
      <c r="A51" s="2" t="n">
        <v>46818</v>
      </c>
      <c r="B51" s="3" t="inlineStr">
        <is>
          <t>Examen</t>
        </is>
      </c>
      <c r="C51" s="3" t="inlineStr">
        <is>
          <t>RPMS — Promotion 1 : session de validation [À VÉRIFIER : date confirmée]</t>
        </is>
      </c>
      <c r="D51" s="3" t="inlineStr"/>
      <c r="E51" s="3" t="inlineStr"/>
    </row>
    <row r="52">
      <c r="A52" s="2" t="n">
        <v>46843</v>
      </c>
      <c r="B52" s="3" t="inlineStr">
        <is>
          <t>Obligation</t>
        </is>
      </c>
      <c r="C52" s="3" t="inlineStr">
        <is>
          <t>Renouveler l'attestation de vigilance URSSAF (tous les 6 mois)</t>
        </is>
      </c>
      <c r="D52" s="3" t="inlineStr"/>
      <c r="E52" s="3" t="inlineStr"/>
    </row>
    <row r="53">
      <c r="A53" s="2" t="n">
        <v>46875</v>
      </c>
      <c r="B53" s="3" t="inlineStr">
        <is>
          <t>RGPD</t>
        </is>
      </c>
      <c r="C53" s="3" t="inlineStr">
        <is>
          <t>Revue annuelle du registre des traitements et purge des données échues</t>
        </is>
      </c>
      <c r="D53" s="3" t="inlineStr"/>
      <c r="E53" s="3" t="inlineStr"/>
    </row>
    <row r="54">
      <c r="A54" s="2" t="n">
        <v>46903</v>
      </c>
      <c r="B54" s="3" t="inlineStr">
        <is>
          <t>Qualité</t>
        </is>
      </c>
      <c r="C54" s="3" t="inlineStr">
        <is>
          <t>RPMS — Promotion 1 : questionnaire à froid (3 mois)</t>
        </is>
      </c>
      <c r="D54" s="3" t="inlineStr"/>
      <c r="E54" s="3" t="inlineStr"/>
    </row>
    <row r="55">
      <c r="A55" s="2" t="n">
        <v>46904</v>
      </c>
      <c r="B55" s="3" t="inlineStr">
        <is>
          <t>Obligation</t>
        </is>
      </c>
      <c r="C55" s="3" t="inlineStr">
        <is>
          <t>Déposer le bilan pédagogique et financier de 2027 (Mon Activité Formation)</t>
        </is>
      </c>
      <c r="D55" s="3" t="inlineStr"/>
      <c r="E55" s="3" t="inlineStr"/>
    </row>
    <row r="56">
      <c r="A56" s="2" t="n">
        <v>46994</v>
      </c>
      <c r="B56" s="3" t="inlineStr">
        <is>
          <t>Qualité</t>
        </is>
      </c>
      <c r="C56" s="3" t="inlineStr">
        <is>
          <t>RPMS — Promotion 1 : enquête d'insertion à 6 mois et mise à jour des résultats publiés</t>
        </is>
      </c>
      <c r="D56" s="3" t="inlineStr"/>
      <c r="E56" s="3" t="inlineStr"/>
    </row>
    <row r="57">
      <c r="A57" s="2" t="n">
        <v>47028</v>
      </c>
      <c r="B57" s="3" t="inlineStr">
        <is>
          <t>Obligation</t>
        </is>
      </c>
      <c r="C57" s="3" t="inlineStr">
        <is>
          <t>Renouveler l'attestation de vigilance URSSAF (tous les 6 mois)</t>
        </is>
      </c>
      <c r="D57" s="3" t="inlineStr"/>
      <c r="E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  <col width="32" customWidth="1" min="9" max="9"/>
    <col width="10" customWidth="1" min="10" max="10"/>
  </cols>
  <sheetData>
    <row r="1">
      <c r="A1" s="4" t="inlineStr">
        <is>
          <t>Budget prévisionnel — MEM — Promotion 1 (01/03/2027 → 19/08/2027)</t>
        </is>
      </c>
    </row>
    <row r="2">
      <c r="A2" s="5" t="inlineStr">
        <is>
          <t>Cases beiges = à saisir. Cases bleues = calculées.</t>
        </is>
      </c>
    </row>
    <row r="3">
      <c r="A3" s="6" t="inlineStr">
        <is>
          <t>TVA : franchise en base (art. 293 B du CGI). Si le chiffre d'affaires annuel dépasse le seuil de franchise, la formation reste sans TVA uniquement avec l'attestation 3511-SD — à voir avec l'expert-comptable.</t>
        </is>
      </c>
    </row>
    <row r="4">
      <c r="A4" s="1" t="inlineStr">
        <is>
          <t>Hypothèses</t>
        </is>
      </c>
      <c r="B4" s="1" t="inlineStr">
        <is>
          <t>Valeur</t>
        </is>
      </c>
      <c r="C4" s="1" t="inlineStr">
        <is>
          <t>Commentaire</t>
        </is>
      </c>
    </row>
    <row r="5">
      <c r="A5" s="3" t="inlineStr">
        <is>
          <t>Nombre de stagiaires</t>
        </is>
      </c>
      <c r="B5" s="7" t="n">
        <v>10</v>
      </c>
      <c r="C5" s="3" t="inlineStr">
        <is>
          <t>Saisir l'effectif prévu</t>
        </is>
      </c>
    </row>
    <row r="6">
      <c r="A6" s="3" t="inlineStr">
        <is>
          <t>Prix du parcours par stagiaire</t>
        </is>
      </c>
      <c r="B6" s="8" t="n"/>
      <c r="C6" s="3" t="inlineStr">
        <is>
          <t>[À COMPLÉTER] — prix de vente, net de TVA</t>
        </is>
      </c>
    </row>
    <row r="7">
      <c r="A7" s="3" t="inlineStr">
        <is>
          <t>Heures en centre</t>
        </is>
      </c>
      <c r="B7" s="9" t="n">
        <v>560</v>
      </c>
      <c r="C7" s="3" t="inlineStr">
        <is>
          <t>Calculé à partir du déroulé</t>
        </is>
      </c>
    </row>
    <row r="8">
      <c r="A8" s="3" t="inlineStr">
        <is>
          <t>Journées en centre</t>
        </is>
      </c>
      <c r="B8" s="9" t="n">
        <v>80</v>
      </c>
      <c r="C8" s="3" t="inlineStr">
        <is>
          <t>Calculé à partir du calendrier</t>
        </is>
      </c>
    </row>
    <row r="9">
      <c r="A9" s="3" t="inlineStr">
        <is>
          <t>Location de salle par jour</t>
        </is>
      </c>
      <c r="B9" s="8" t="n">
        <v>100</v>
      </c>
      <c r="C9" s="3" t="inlineStr">
        <is>
          <t>Secrétariat Center</t>
        </is>
      </c>
    </row>
    <row r="10">
      <c r="A10" s="3" t="inlineStr">
        <is>
          <t>Heures assurées par des formateurs externes</t>
        </is>
      </c>
      <c r="B10" s="7" t="n">
        <v>0</v>
      </c>
      <c r="C10" s="3" t="inlineStr">
        <is>
          <t>Heures non assurées par le dirigeant</t>
        </is>
      </c>
    </row>
    <row r="11">
      <c r="A11" s="3" t="inlineStr">
        <is>
          <t>Coût horaire d'un formateur externe</t>
        </is>
      </c>
      <c r="B11" s="8" t="n"/>
      <c r="C11" s="3" t="inlineStr">
        <is>
          <t>[À COMPLÉTER]</t>
        </is>
      </c>
    </row>
    <row r="12">
      <c r="A12" s="3" t="inlineStr">
        <is>
          <t>Ordinateurs portables (achat ou location)</t>
        </is>
      </c>
      <c r="B12" s="8" t="n"/>
      <c r="C12" s="3" t="inlineStr">
        <is>
          <t>Indispensables pour T2 et l'épreuve de mise en situation du MEM</t>
        </is>
      </c>
    </row>
    <row r="13">
      <c r="A13" s="3" t="inlineStr">
        <is>
          <t>Coût d'examen par candidat (centre agréé partenaire)</t>
        </is>
      </c>
      <c r="B13" s="8" t="n"/>
      <c r="C13" s="3" t="inlineStr">
        <is>
          <t>[À COMPLÉTER] si pas d'agrément propre</t>
        </is>
      </c>
    </row>
    <row r="14">
      <c r="A14" s="3" t="inlineStr">
        <is>
          <t>Jury blanc (défraiement)</t>
        </is>
      </c>
      <c r="B14" s="8" t="n"/>
      <c r="C14" s="3" t="inlineStr">
        <is>
          <t>Professionnels invités</t>
        </is>
      </c>
    </row>
    <row r="15">
      <c r="A15" s="3" t="inlineStr">
        <is>
          <t>Communication et recrutement</t>
        </is>
      </c>
      <c r="B15" s="8" t="n"/>
      <c r="C15" s="3" t="inlineStr">
        <is>
          <t>Informations collectives, supports</t>
        </is>
      </c>
    </row>
    <row r="16">
      <c r="A16" s="3" t="inlineStr">
        <is>
          <t>Assurances, logiciels, frais administratifs</t>
        </is>
      </c>
      <c r="B16" s="8" t="n"/>
      <c r="C16" s="3" t="inlineStr">
        <is>
          <t>Quote-part de la promotion</t>
        </is>
      </c>
    </row>
    <row r="18">
      <c r="A18" s="1" t="inlineStr">
        <is>
          <t>Résultat</t>
        </is>
      </c>
      <c r="B18" s="1" t="inlineStr">
        <is>
          <t>Montant</t>
        </is>
      </c>
      <c r="C18" s="1" t="inlineStr">
        <is>
          <t>Formule</t>
        </is>
      </c>
    </row>
    <row r="19">
      <c r="A19" s="3" t="inlineStr">
        <is>
          <t>Chiffre d'affaires</t>
        </is>
      </c>
      <c r="B19" s="10">
        <f>B5*B6</f>
        <v/>
      </c>
      <c r="C19" s="3" t="inlineStr">
        <is>
          <t>Stagiaires × prix</t>
        </is>
      </c>
    </row>
    <row r="20">
      <c r="A20" s="3" t="inlineStr">
        <is>
          <t>Location de salle</t>
        </is>
      </c>
      <c r="B20" s="10">
        <f>B8*B9</f>
        <v/>
      </c>
      <c r="C20" s="3" t="inlineStr">
        <is>
          <t>Journées × prix par jour</t>
        </is>
      </c>
    </row>
    <row r="21">
      <c r="A21" s="3" t="inlineStr">
        <is>
          <t>Formateurs externes</t>
        </is>
      </c>
      <c r="B21" s="10">
        <f>B10*B11</f>
        <v/>
      </c>
      <c r="C21" s="3" t="inlineStr">
        <is>
          <t>Heures × coût horaire</t>
        </is>
      </c>
    </row>
    <row r="22">
      <c r="A22" s="3" t="inlineStr">
        <is>
          <t>Matériel informatique</t>
        </is>
      </c>
      <c r="B22" s="10">
        <f>B12</f>
        <v/>
      </c>
      <c r="C22" s="3" t="inlineStr"/>
    </row>
    <row r="23">
      <c r="A23" s="3" t="inlineStr">
        <is>
          <t>Examens</t>
        </is>
      </c>
      <c r="B23" s="10">
        <f>B5*B13</f>
        <v/>
      </c>
      <c r="C23" s="3" t="inlineStr">
        <is>
          <t>Stagiaires × coût par candidat</t>
        </is>
      </c>
    </row>
    <row r="24">
      <c r="A24" s="3" t="inlineStr">
        <is>
          <t>Jury blanc</t>
        </is>
      </c>
      <c r="B24" s="10">
        <f>B14</f>
        <v/>
      </c>
      <c r="C24" s="3" t="inlineStr"/>
    </row>
    <row r="25">
      <c r="A25" s="3" t="inlineStr">
        <is>
          <t>Communication</t>
        </is>
      </c>
      <c r="B25" s="10">
        <f>B15</f>
        <v/>
      </c>
      <c r="C25" s="3" t="inlineStr"/>
    </row>
    <row r="26">
      <c r="A26" s="3" t="inlineStr">
        <is>
          <t>Frais généraux</t>
        </is>
      </c>
      <c r="B26" s="10">
        <f>B16</f>
        <v/>
      </c>
      <c r="C26" s="3" t="inlineStr"/>
    </row>
    <row r="27">
      <c r="A27" s="11" t="inlineStr">
        <is>
          <t>Total des charges</t>
        </is>
      </c>
      <c r="B27" s="10">
        <f>SUM(B20:B26)</f>
        <v/>
      </c>
      <c r="C27" s="3" t="inlineStr"/>
    </row>
    <row r="28">
      <c r="A28" s="11" t="inlineStr">
        <is>
          <t>Résultat de la promotion</t>
        </is>
      </c>
      <c r="B28" s="10">
        <f>B19-B27</f>
        <v/>
      </c>
      <c r="C28" s="3" t="inlineStr">
        <is>
          <t>Avant rémunération du dirigeant</t>
        </is>
      </c>
    </row>
    <row r="29">
      <c r="A29" s="11" t="inlineStr">
        <is>
          <t>Seuil de rentabilité (stagiaires)</t>
        </is>
      </c>
      <c r="B29" s="9">
        <f>IF(B6&gt;0,ROUNDUP((B27-B5*B13)/(B6-B13),0),"")</f>
        <v/>
      </c>
      <c r="C29" s="3" t="inlineStr">
        <is>
          <t>Effectif minimal pour couvrir les charges</t>
        </is>
      </c>
    </row>
    <row r="30">
      <c r="A30" s="3" t="inlineStr">
        <is>
          <t>Coût de la salle par heure-stagiaire</t>
        </is>
      </c>
      <c r="B30" s="12">
        <f>IF(B5&gt;0,B20/(B7*B5),"")</f>
        <v/>
      </c>
      <c r="C30" s="3" t="inlineStr">
        <is>
          <t>Indicateur de pilotage</t>
        </is>
      </c>
    </row>
    <row r="33">
      <c r="A33" s="1" t="inlineStr">
        <is>
          <t>Mois</t>
        </is>
      </c>
      <c r="B33" s="1" t="inlineStr">
        <is>
          <t>Jours en centre</t>
        </is>
      </c>
      <c r="C33" s="1" t="inlineStr">
        <is>
          <t>Encaissements</t>
        </is>
      </c>
      <c r="D33" s="1" t="inlineStr">
        <is>
          <t>Location salle</t>
        </is>
      </c>
      <c r="E33" s="1" t="inlineStr">
        <is>
          <t>Autres charges</t>
        </is>
      </c>
      <c r="F33" s="1" t="inlineStr">
        <is>
          <t>Solde du mois</t>
        </is>
      </c>
      <c r="G33" s="1" t="inlineStr">
        <is>
          <t>Solde cumulé</t>
        </is>
      </c>
      <c r="I33" s="13" t="inlineStr">
        <is>
          <t>Échéancier d'encaissement</t>
        </is>
      </c>
    </row>
    <row r="34">
      <c r="A34" s="14" t="n">
        <v>46447</v>
      </c>
      <c r="B34" s="15" t="n">
        <v>22</v>
      </c>
      <c r="C34" s="10">
        <f>IF(0=0+$J$37,$B$19*$J$34,0)+IF(0=3+$J$37,$B$19*$J$35,0)+IF(0=5+$J$37,$B$19*$J$36,0)</f>
        <v/>
      </c>
      <c r="D34" s="10">
        <f>-B34*$B$9</f>
        <v/>
      </c>
      <c r="E34" s="10">
        <f>-($B$21+$B$22+$B$23+$B$24+$B$25+$B$26)/6</f>
        <v/>
      </c>
      <c r="F34" s="10">
        <f>C34+D34+E34</f>
        <v/>
      </c>
      <c r="G34" s="10">
        <f>F34</f>
        <v/>
      </c>
      <c r="I34" t="inlineStr">
        <is>
          <t>À l'entrée</t>
        </is>
      </c>
      <c r="J34" s="16" t="n">
        <v>0.3</v>
      </c>
    </row>
    <row r="35">
      <c r="A35" s="14" t="n">
        <v>46478</v>
      </c>
      <c r="B35" s="15" t="n">
        <v>22</v>
      </c>
      <c r="C35" s="10">
        <f>IF(1=0+$J$37,$B$19*$J$34,0)+IF(1=3+$J$37,$B$19*$J$35,0)+IF(1=5+$J$37,$B$19*$J$36,0)</f>
        <v/>
      </c>
      <c r="D35" s="10">
        <f>-B35*$B$9</f>
        <v/>
      </c>
      <c r="E35" s="10">
        <f>-($B$21+$B$22+$B$23+$B$24+$B$25+$B$26)/6</f>
        <v/>
      </c>
      <c r="F35" s="10">
        <f>C35+D35+E35</f>
        <v/>
      </c>
      <c r="G35" s="10">
        <f>G34+F35</f>
        <v/>
      </c>
      <c r="I35" t="inlineStr">
        <is>
          <t>À mi-parcours</t>
        </is>
      </c>
      <c r="J35" s="16" t="n">
        <v>0.4</v>
      </c>
    </row>
    <row r="36">
      <c r="A36" s="14" t="n">
        <v>46508</v>
      </c>
      <c r="B36" s="15" t="n">
        <v>6</v>
      </c>
      <c r="C36" s="10">
        <f>IF(2=0+$J$37,$B$19*$J$34,0)+IF(2=3+$J$37,$B$19*$J$35,0)+IF(2=5+$J$37,$B$19*$J$36,0)</f>
        <v/>
      </c>
      <c r="D36" s="10">
        <f>-B36*$B$9</f>
        <v/>
      </c>
      <c r="E36" s="10">
        <f>-($B$21+$B$22+$B$23+$B$24+$B$25+$B$26)/6</f>
        <v/>
      </c>
      <c r="F36" s="10">
        <f>C36+D36+E36</f>
        <v/>
      </c>
      <c r="G36" s="10">
        <f>G35+F36</f>
        <v/>
      </c>
      <c r="I36" t="inlineStr">
        <is>
          <t>À la fin</t>
        </is>
      </c>
      <c r="J36" s="16" t="n">
        <v>0.3</v>
      </c>
    </row>
    <row r="37">
      <c r="A37" s="14" t="n">
        <v>46539</v>
      </c>
      <c r="B37" s="15" t="n">
        <v>15</v>
      </c>
      <c r="C37" s="10">
        <f>IF(3=0+$J$37,$B$19*$J$34,0)+IF(3=3+$J$37,$B$19*$J$35,0)+IF(3=5+$J$37,$B$19*$J$36,0)</f>
        <v/>
      </c>
      <c r="D37" s="10">
        <f>-B37*$B$9</f>
        <v/>
      </c>
      <c r="E37" s="10">
        <f>-($B$21+$B$22+$B$23+$B$24+$B$25+$B$26)/6</f>
        <v/>
      </c>
      <c r="F37" s="10">
        <f>C37+D37+E37</f>
        <v/>
      </c>
      <c r="G37" s="10">
        <f>G36+F37</f>
        <v/>
      </c>
      <c r="I37" t="inlineStr">
        <is>
          <t>Délai moyen de paiement (mois)</t>
        </is>
      </c>
      <c r="J37" s="17" t="n">
        <v>2</v>
      </c>
    </row>
    <row r="38">
      <c r="A38" s="14" t="n">
        <v>46569</v>
      </c>
      <c r="B38" s="15" t="n">
        <v>9</v>
      </c>
      <c r="C38" s="10">
        <f>IF(4=0+$J$37,$B$19*$J$34,0)+IF(4=3+$J$37,$B$19*$J$35,0)+IF(4=5+$J$37,$B$19*$J$36,0)</f>
        <v/>
      </c>
      <c r="D38" s="10">
        <f>-B38*$B$9</f>
        <v/>
      </c>
      <c r="E38" s="10">
        <f>-($B$21+$B$22+$B$23+$B$24+$B$25+$B$26)/6</f>
        <v/>
      </c>
      <c r="F38" s="10">
        <f>C38+D38+E38</f>
        <v/>
      </c>
      <c r="G38" s="10">
        <f>G37+F38</f>
        <v/>
      </c>
    </row>
    <row r="39">
      <c r="A39" s="14" t="n">
        <v>46600</v>
      </c>
      <c r="B39" s="15" t="n">
        <v>6</v>
      </c>
      <c r="C39" s="10">
        <f>IF(5=0+$J$37,$B$19*$J$34,0)+IF(5=3+$J$37,$B$19*$J$35,0)+IF(5=5+$J$37,$B$19*$J$36,0)</f>
        <v/>
      </c>
      <c r="D39" s="10">
        <f>-B39*$B$9</f>
        <v/>
      </c>
      <c r="E39" s="10">
        <f>-($B$21+$B$22+$B$23+$B$24+$B$25+$B$26)/6</f>
        <v/>
      </c>
      <c r="F39" s="10">
        <f>C39+D39+E39</f>
        <v/>
      </c>
      <c r="G39" s="10">
        <f>G38+F39</f>
        <v/>
      </c>
    </row>
    <row r="40">
      <c r="A40" s="3" t="inlineStr">
        <is>
          <t>Mois + 1 après la fin</t>
        </is>
      </c>
      <c r="B40" s="15" t="n">
        <v>0</v>
      </c>
      <c r="C40" s="10">
        <f>IF(6=0+$J$37,$B$19*$J$34,0)+IF(6=3+$J$37,$B$19*$J$35,0)+IF(6=5+$J$37,$B$19*$J$36,0)</f>
        <v/>
      </c>
      <c r="D40" s="10" t="n">
        <v>0</v>
      </c>
      <c r="E40" s="10" t="n">
        <v>0</v>
      </c>
      <c r="F40" s="10">
        <f>C40+D40+E40</f>
        <v/>
      </c>
      <c r="G40" s="10">
        <f>G39+F40</f>
        <v/>
      </c>
    </row>
    <row r="41">
      <c r="A41" s="3" t="inlineStr">
        <is>
          <t>Mois + 2 après la fin</t>
        </is>
      </c>
      <c r="B41" s="15" t="n">
        <v>0</v>
      </c>
      <c r="C41" s="10">
        <f>IF(7=0+$J$37,$B$19*$J$34,0)+IF(7=3+$J$37,$B$19*$J$35,0)+IF(7=5+$J$37,$B$19*$J$36,0)</f>
        <v/>
      </c>
      <c r="D41" s="10" t="n">
        <v>0</v>
      </c>
      <c r="E41" s="10" t="n">
        <v>0</v>
      </c>
      <c r="F41" s="10">
        <f>C41+D41+E41</f>
        <v/>
      </c>
      <c r="G41" s="10">
        <f>G40+F41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  <col width="32" customWidth="1" min="9" max="9"/>
    <col width="10" customWidth="1" min="10" max="10"/>
  </cols>
  <sheetData>
    <row r="1">
      <c r="A1" s="4" t="inlineStr">
        <is>
          <t>Budget prévisionnel — RPMS — Promotion 1 (06/09/2027 → 29/02/2028)</t>
        </is>
      </c>
    </row>
    <row r="2">
      <c r="A2" s="5" t="inlineStr">
        <is>
          <t>Cases beiges = à saisir. Cases bleues = calculées.</t>
        </is>
      </c>
    </row>
    <row r="3">
      <c r="A3" s="6" t="inlineStr">
        <is>
          <t>TVA : franchise en base (art. 293 B du CGI). Si le chiffre d'affaires annuel dépasse le seuil de franchise, la formation reste sans TVA uniquement avec l'attestation 3511-SD — à voir avec l'expert-comptable.</t>
        </is>
      </c>
    </row>
    <row r="4">
      <c r="A4" s="1" t="inlineStr">
        <is>
          <t>Hypothèses</t>
        </is>
      </c>
      <c r="B4" s="1" t="inlineStr">
        <is>
          <t>Valeur</t>
        </is>
      </c>
      <c r="C4" s="1" t="inlineStr">
        <is>
          <t>Commentaire</t>
        </is>
      </c>
    </row>
    <row r="5">
      <c r="A5" s="3" t="inlineStr">
        <is>
          <t>Nombre de stagiaires</t>
        </is>
      </c>
      <c r="B5" s="7" t="n">
        <v>10</v>
      </c>
      <c r="C5" s="3" t="inlineStr">
        <is>
          <t>Saisir l'effectif prévu</t>
        </is>
      </c>
    </row>
    <row r="6">
      <c r="A6" s="3" t="inlineStr">
        <is>
          <t>Prix du parcours par stagiaire</t>
        </is>
      </c>
      <c r="B6" s="8" t="n"/>
      <c r="C6" s="3" t="inlineStr">
        <is>
          <t>[À COMPLÉTER] — prix de vente, net de TVA</t>
        </is>
      </c>
    </row>
    <row r="7">
      <c r="A7" s="3" t="inlineStr">
        <is>
          <t>Heures en centre</t>
        </is>
      </c>
      <c r="B7" s="9" t="n">
        <v>595</v>
      </c>
      <c r="C7" s="3" t="inlineStr">
        <is>
          <t>Calculé à partir du déroulé</t>
        </is>
      </c>
    </row>
    <row r="8">
      <c r="A8" s="3" t="inlineStr">
        <is>
          <t>Journées en centre</t>
        </is>
      </c>
      <c r="B8" s="9" t="n">
        <v>85</v>
      </c>
      <c r="C8" s="3" t="inlineStr">
        <is>
          <t>Calculé à partir du calendrier</t>
        </is>
      </c>
    </row>
    <row r="9">
      <c r="A9" s="3" t="inlineStr">
        <is>
          <t>Location de salle par jour</t>
        </is>
      </c>
      <c r="B9" s="8" t="n">
        <v>100</v>
      </c>
      <c r="C9" s="3" t="inlineStr">
        <is>
          <t>Secrétariat Center</t>
        </is>
      </c>
    </row>
    <row r="10">
      <c r="A10" s="3" t="inlineStr">
        <is>
          <t>Heures assurées par des formateurs externes</t>
        </is>
      </c>
      <c r="B10" s="7" t="n">
        <v>0</v>
      </c>
      <c r="C10" s="3" t="inlineStr">
        <is>
          <t>Heures non assurées par le dirigeant</t>
        </is>
      </c>
    </row>
    <row r="11">
      <c r="A11" s="3" t="inlineStr">
        <is>
          <t>Coût horaire d'un formateur externe</t>
        </is>
      </c>
      <c r="B11" s="8" t="n"/>
      <c r="C11" s="3" t="inlineStr">
        <is>
          <t>[À COMPLÉTER]</t>
        </is>
      </c>
    </row>
    <row r="12">
      <c r="A12" s="3" t="inlineStr">
        <is>
          <t>Ordinateurs portables (achat ou location)</t>
        </is>
      </c>
      <c r="B12" s="8" t="n"/>
      <c r="C12" s="3" t="inlineStr">
        <is>
          <t>Indispensables pour T2 et l'épreuve de mise en situation du MEM</t>
        </is>
      </c>
    </row>
    <row r="13">
      <c r="A13" s="3" t="inlineStr">
        <is>
          <t>Coût d'examen par candidat (centre agréé partenaire)</t>
        </is>
      </c>
      <c r="B13" s="8" t="n"/>
      <c r="C13" s="3" t="inlineStr">
        <is>
          <t>[À COMPLÉTER] si pas d'agrément propre</t>
        </is>
      </c>
    </row>
    <row r="14">
      <c r="A14" s="3" t="inlineStr">
        <is>
          <t>Jury blanc (défraiement)</t>
        </is>
      </c>
      <c r="B14" s="8" t="n"/>
      <c r="C14" s="3" t="inlineStr">
        <is>
          <t>Professionnels invités</t>
        </is>
      </c>
    </row>
    <row r="15">
      <c r="A15" s="3" t="inlineStr">
        <is>
          <t>Communication et recrutement</t>
        </is>
      </c>
      <c r="B15" s="8" t="n"/>
      <c r="C15" s="3" t="inlineStr">
        <is>
          <t>Informations collectives, supports</t>
        </is>
      </c>
    </row>
    <row r="16">
      <c r="A16" s="3" t="inlineStr">
        <is>
          <t>Assurances, logiciels, frais administratifs</t>
        </is>
      </c>
      <c r="B16" s="8" t="n"/>
      <c r="C16" s="3" t="inlineStr">
        <is>
          <t>Quote-part de la promotion</t>
        </is>
      </c>
    </row>
    <row r="18">
      <c r="A18" s="1" t="inlineStr">
        <is>
          <t>Résultat</t>
        </is>
      </c>
      <c r="B18" s="1" t="inlineStr">
        <is>
          <t>Montant</t>
        </is>
      </c>
      <c r="C18" s="1" t="inlineStr">
        <is>
          <t>Formule</t>
        </is>
      </c>
    </row>
    <row r="19">
      <c r="A19" s="3" t="inlineStr">
        <is>
          <t>Chiffre d'affaires</t>
        </is>
      </c>
      <c r="B19" s="10">
        <f>B5*B6</f>
        <v/>
      </c>
      <c r="C19" s="3" t="inlineStr">
        <is>
          <t>Stagiaires × prix</t>
        </is>
      </c>
    </row>
    <row r="20">
      <c r="A20" s="3" t="inlineStr">
        <is>
          <t>Location de salle</t>
        </is>
      </c>
      <c r="B20" s="10">
        <f>B8*B9</f>
        <v/>
      </c>
      <c r="C20" s="3" t="inlineStr">
        <is>
          <t>Journées × prix par jour</t>
        </is>
      </c>
    </row>
    <row r="21">
      <c r="A21" s="3" t="inlineStr">
        <is>
          <t>Formateurs externes</t>
        </is>
      </c>
      <c r="B21" s="10">
        <f>B10*B11</f>
        <v/>
      </c>
      <c r="C21" s="3" t="inlineStr">
        <is>
          <t>Heures × coût horaire</t>
        </is>
      </c>
    </row>
    <row r="22">
      <c r="A22" s="3" t="inlineStr">
        <is>
          <t>Matériel informatique</t>
        </is>
      </c>
      <c r="B22" s="10">
        <f>B12</f>
        <v/>
      </c>
      <c r="C22" s="3" t="inlineStr"/>
    </row>
    <row r="23">
      <c r="A23" s="3" t="inlineStr">
        <is>
          <t>Examens</t>
        </is>
      </c>
      <c r="B23" s="10">
        <f>B5*B13</f>
        <v/>
      </c>
      <c r="C23" s="3" t="inlineStr">
        <is>
          <t>Stagiaires × coût par candidat</t>
        </is>
      </c>
    </row>
    <row r="24">
      <c r="A24" s="3" t="inlineStr">
        <is>
          <t>Jury blanc</t>
        </is>
      </c>
      <c r="B24" s="10">
        <f>B14</f>
        <v/>
      </c>
      <c r="C24" s="3" t="inlineStr"/>
    </row>
    <row r="25">
      <c r="A25" s="3" t="inlineStr">
        <is>
          <t>Communication</t>
        </is>
      </c>
      <c r="B25" s="10">
        <f>B15</f>
        <v/>
      </c>
      <c r="C25" s="3" t="inlineStr"/>
    </row>
    <row r="26">
      <c r="A26" s="3" t="inlineStr">
        <is>
          <t>Frais généraux</t>
        </is>
      </c>
      <c r="B26" s="10">
        <f>B16</f>
        <v/>
      </c>
      <c r="C26" s="3" t="inlineStr"/>
    </row>
    <row r="27">
      <c r="A27" s="11" t="inlineStr">
        <is>
          <t>Total des charges</t>
        </is>
      </c>
      <c r="B27" s="10">
        <f>SUM(B20:B26)</f>
        <v/>
      </c>
      <c r="C27" s="3" t="inlineStr"/>
    </row>
    <row r="28">
      <c r="A28" s="11" t="inlineStr">
        <is>
          <t>Résultat de la promotion</t>
        </is>
      </c>
      <c r="B28" s="10">
        <f>B19-B27</f>
        <v/>
      </c>
      <c r="C28" s="3" t="inlineStr">
        <is>
          <t>Avant rémunération du dirigeant</t>
        </is>
      </c>
    </row>
    <row r="29">
      <c r="A29" s="11" t="inlineStr">
        <is>
          <t>Seuil de rentabilité (stagiaires)</t>
        </is>
      </c>
      <c r="B29" s="9">
        <f>IF(B6&gt;0,ROUNDUP((B27-B5*B13)/(B6-B13),0),"")</f>
        <v/>
      </c>
      <c r="C29" s="3" t="inlineStr">
        <is>
          <t>Effectif minimal pour couvrir les charges</t>
        </is>
      </c>
    </row>
    <row r="30">
      <c r="A30" s="3" t="inlineStr">
        <is>
          <t>Coût de la salle par heure-stagiaire</t>
        </is>
      </c>
      <c r="B30" s="12">
        <f>IF(B5&gt;0,B20/(B7*B5),"")</f>
        <v/>
      </c>
      <c r="C30" s="3" t="inlineStr">
        <is>
          <t>Indicateur de pilotage</t>
        </is>
      </c>
    </row>
    <row r="33">
      <c r="A33" s="1" t="inlineStr">
        <is>
          <t>Mois</t>
        </is>
      </c>
      <c r="B33" s="1" t="inlineStr">
        <is>
          <t>Jours en centre</t>
        </is>
      </c>
      <c r="C33" s="1" t="inlineStr">
        <is>
          <t>Encaissements</t>
        </is>
      </c>
      <c r="D33" s="1" t="inlineStr">
        <is>
          <t>Location salle</t>
        </is>
      </c>
      <c r="E33" s="1" t="inlineStr">
        <is>
          <t>Autres charges</t>
        </is>
      </c>
      <c r="F33" s="1" t="inlineStr">
        <is>
          <t>Solde du mois</t>
        </is>
      </c>
      <c r="G33" s="1" t="inlineStr">
        <is>
          <t>Solde cumulé</t>
        </is>
      </c>
      <c r="I33" s="13" t="inlineStr">
        <is>
          <t>Échéancier d'encaissement</t>
        </is>
      </c>
    </row>
    <row r="34">
      <c r="A34" s="14" t="n">
        <v>46631</v>
      </c>
      <c r="B34" s="15" t="n">
        <v>19</v>
      </c>
      <c r="C34" s="10">
        <f>IF(0=0+$J$37,$B$19*$J$34,0)+IF(0=3+$J$37,$B$19*$J$35,0)+IF(0=5+$J$37,$B$19*$J$36,0)</f>
        <v/>
      </c>
      <c r="D34" s="10">
        <f>-B34*$B$9</f>
        <v/>
      </c>
      <c r="E34" s="10">
        <f>-($B$21+$B$22+$B$23+$B$24+$B$25+$B$26)/6</f>
        <v/>
      </c>
      <c r="F34" s="10">
        <f>C34+D34+E34</f>
        <v/>
      </c>
      <c r="G34" s="10">
        <f>F34</f>
        <v/>
      </c>
      <c r="I34" t="inlineStr">
        <is>
          <t>À l'entrée</t>
        </is>
      </c>
      <c r="J34" s="16" t="n">
        <v>0.3</v>
      </c>
    </row>
    <row r="35">
      <c r="A35" s="14" t="n">
        <v>46661</v>
      </c>
      <c r="B35" s="15" t="n">
        <v>21</v>
      </c>
      <c r="C35" s="10">
        <f>IF(1=0+$J$37,$B$19*$J$34,0)+IF(1=3+$J$37,$B$19*$J$35,0)+IF(1=5+$J$37,$B$19*$J$36,0)</f>
        <v/>
      </c>
      <c r="D35" s="10">
        <f>-B35*$B$9</f>
        <v/>
      </c>
      <c r="E35" s="10">
        <f>-($B$21+$B$22+$B$23+$B$24+$B$25+$B$26)/6</f>
        <v/>
      </c>
      <c r="F35" s="10">
        <f>C35+D35+E35</f>
        <v/>
      </c>
      <c r="G35" s="10">
        <f>G34+F35</f>
        <v/>
      </c>
      <c r="I35" t="inlineStr">
        <is>
          <t>À mi-parcours</t>
        </is>
      </c>
      <c r="J35" s="16" t="n">
        <v>0.4</v>
      </c>
    </row>
    <row r="36">
      <c r="A36" s="14" t="n">
        <v>46692</v>
      </c>
      <c r="B36" s="15" t="n">
        <v>6</v>
      </c>
      <c r="C36" s="10">
        <f>IF(2=0+$J$37,$B$19*$J$34,0)+IF(2=3+$J$37,$B$19*$J$35,0)+IF(2=5+$J$37,$B$19*$J$36,0)</f>
        <v/>
      </c>
      <c r="D36" s="10">
        <f>-B36*$B$9</f>
        <v/>
      </c>
      <c r="E36" s="10">
        <f>-($B$21+$B$22+$B$23+$B$24+$B$25+$B$26)/6</f>
        <v/>
      </c>
      <c r="F36" s="10">
        <f>C36+D36+E36</f>
        <v/>
      </c>
      <c r="G36" s="10">
        <f>G35+F36</f>
        <v/>
      </c>
      <c r="I36" t="inlineStr">
        <is>
          <t>À la fin</t>
        </is>
      </c>
      <c r="J36" s="16" t="n">
        <v>0.3</v>
      </c>
    </row>
    <row r="37">
      <c r="A37" s="14" t="n">
        <v>46722</v>
      </c>
      <c r="B37" s="15" t="n">
        <v>12</v>
      </c>
      <c r="C37" s="10">
        <f>IF(3=0+$J$37,$B$19*$J$34,0)+IF(3=3+$J$37,$B$19*$J$35,0)+IF(3=5+$J$37,$B$19*$J$36,0)</f>
        <v/>
      </c>
      <c r="D37" s="10">
        <f>-B37*$B$9</f>
        <v/>
      </c>
      <c r="E37" s="10">
        <f>-($B$21+$B$22+$B$23+$B$24+$B$25+$B$26)/6</f>
        <v/>
      </c>
      <c r="F37" s="10">
        <f>C37+D37+E37</f>
        <v/>
      </c>
      <c r="G37" s="10">
        <f>G36+F37</f>
        <v/>
      </c>
      <c r="I37" t="inlineStr">
        <is>
          <t>Délai moyen de paiement (mois)</t>
        </is>
      </c>
      <c r="J37" s="17" t="n">
        <v>2</v>
      </c>
    </row>
    <row r="38">
      <c r="A38" s="14" t="n">
        <v>46753</v>
      </c>
      <c r="B38" s="15" t="n">
        <v>21</v>
      </c>
      <c r="C38" s="10">
        <f>IF(4=0+$J$37,$B$19*$J$34,0)+IF(4=3+$J$37,$B$19*$J$35,0)+IF(4=5+$J$37,$B$19*$J$36,0)</f>
        <v/>
      </c>
      <c r="D38" s="10">
        <f>-B38*$B$9</f>
        <v/>
      </c>
      <c r="E38" s="10">
        <f>-($B$21+$B$22+$B$23+$B$24+$B$25+$B$26)/6</f>
        <v/>
      </c>
      <c r="F38" s="10">
        <f>C38+D38+E38</f>
        <v/>
      </c>
      <c r="G38" s="10">
        <f>G37+F38</f>
        <v/>
      </c>
    </row>
    <row r="39">
      <c r="A39" s="14" t="n">
        <v>46784</v>
      </c>
      <c r="B39" s="15" t="n">
        <v>6</v>
      </c>
      <c r="C39" s="10">
        <f>IF(5=0+$J$37,$B$19*$J$34,0)+IF(5=3+$J$37,$B$19*$J$35,0)+IF(5=5+$J$37,$B$19*$J$36,0)</f>
        <v/>
      </c>
      <c r="D39" s="10">
        <f>-B39*$B$9</f>
        <v/>
      </c>
      <c r="E39" s="10">
        <f>-($B$21+$B$22+$B$23+$B$24+$B$25+$B$26)/6</f>
        <v/>
      </c>
      <c r="F39" s="10">
        <f>C39+D39+E39</f>
        <v/>
      </c>
      <c r="G39" s="10">
        <f>G38+F39</f>
        <v/>
      </c>
    </row>
    <row r="40">
      <c r="A40" s="3" t="inlineStr">
        <is>
          <t>Mois + 1 après la fin</t>
        </is>
      </c>
      <c r="B40" s="15" t="n">
        <v>0</v>
      </c>
      <c r="C40" s="10">
        <f>IF(6=0+$J$37,$B$19*$J$34,0)+IF(6=3+$J$37,$B$19*$J$35,0)+IF(6=5+$J$37,$B$19*$J$36,0)</f>
        <v/>
      </c>
      <c r="D40" s="10" t="n">
        <v>0</v>
      </c>
      <c r="E40" s="10" t="n">
        <v>0</v>
      </c>
      <c r="F40" s="10">
        <f>C40+D40+E40</f>
        <v/>
      </c>
      <c r="G40" s="10">
        <f>G39+F40</f>
        <v/>
      </c>
    </row>
    <row r="41">
      <c r="A41" s="3" t="inlineStr">
        <is>
          <t>Mois + 2 après la fin</t>
        </is>
      </c>
      <c r="B41" s="15" t="n">
        <v>0</v>
      </c>
      <c r="C41" s="10">
        <f>IF(7=0+$J$37,$B$19*$J$34,0)+IF(7=3+$J$37,$B$19*$J$35,0)+IF(7=5+$J$37,$B$19*$J$36,0)</f>
        <v/>
      </c>
      <c r="D41" s="10" t="n">
        <v>0</v>
      </c>
      <c r="E41" s="10" t="n">
        <v>0</v>
      </c>
      <c r="F41" s="10">
        <f>C41+D41+E41</f>
        <v/>
      </c>
      <c r="G41" s="10">
        <f>G40+F41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6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Lieu</t>
        </is>
      </c>
      <c r="C1" s="1" t="inlineStr">
        <is>
          <t>Module</t>
        </is>
      </c>
      <c r="D1" s="1" t="inlineStr">
        <is>
          <t>Séquence</t>
        </is>
      </c>
      <c r="E1" s="1" t="inlineStr">
        <is>
          <t>Heures prévues</t>
        </is>
      </c>
      <c r="F1" s="1" t="inlineStr">
        <is>
          <t>Heures réalisées</t>
        </is>
      </c>
      <c r="G1" s="1" t="inlineStr">
        <is>
          <t>Écart</t>
        </is>
      </c>
    </row>
    <row r="2">
      <c r="A2" s="2" t="n">
        <v>46447</v>
      </c>
      <c r="B2" s="3" t="inlineStr">
        <is>
          <t>Centre</t>
        </is>
      </c>
      <c r="C2" s="3" t="inlineStr">
        <is>
          <t>M0</t>
        </is>
      </c>
      <c r="D2" s="3" t="inlineStr">
        <is>
          <t>Bienvenue et découverte du parcours</t>
        </is>
      </c>
      <c r="E2" s="3" t="n">
        <v>7</v>
      </c>
      <c r="F2" s="18" t="n"/>
      <c r="G2" s="3">
        <f>IF(F2="","",F2-E2)</f>
        <v/>
      </c>
    </row>
    <row r="3">
      <c r="A3" s="2" t="n">
        <v>46448</v>
      </c>
      <c r="B3" s="3" t="inlineStr">
        <is>
          <t>Centre</t>
        </is>
      </c>
      <c r="C3" s="3" t="inlineStr">
        <is>
          <t>M0</t>
        </is>
      </c>
      <c r="D3" s="3" t="inlineStr">
        <is>
          <t>Positionnement et projet individuel</t>
        </is>
      </c>
      <c r="E3" s="3" t="n">
        <v>7</v>
      </c>
      <c r="F3" s="18" t="n"/>
      <c r="G3" s="3">
        <f>IF(F3="","",F3-E3)</f>
        <v/>
      </c>
    </row>
    <row r="4">
      <c r="A4" s="2" t="n">
        <v>46449</v>
      </c>
      <c r="B4" s="3" t="inlineStr">
        <is>
          <t>Centre</t>
        </is>
      </c>
      <c r="C4" s="3" t="inlineStr">
        <is>
          <t>T2</t>
        </is>
      </c>
      <c r="D4" s="3" t="inlineStr">
        <is>
          <t>Traitement de texte professionnel</t>
        </is>
      </c>
      <c r="E4" s="3" t="n">
        <v>7</v>
      </c>
      <c r="F4" s="18" t="n"/>
      <c r="G4" s="3">
        <f>IF(F4="","",F4-E4)</f>
        <v/>
      </c>
    </row>
    <row r="5">
      <c r="A5" s="2" t="n">
        <v>46450</v>
      </c>
      <c r="B5" s="3" t="inlineStr">
        <is>
          <t>Centre</t>
        </is>
      </c>
      <c r="C5" s="3" t="inlineStr">
        <is>
          <t>T2</t>
        </is>
      </c>
      <c r="D5" s="3" t="inlineStr">
        <is>
          <t>Tableur : formules et calculs commerciaux</t>
        </is>
      </c>
      <c r="E5" s="3" t="n">
        <v>7</v>
      </c>
      <c r="F5" s="18" t="n"/>
      <c r="G5" s="3">
        <f>IF(F5="","",F5-E5)</f>
        <v/>
      </c>
    </row>
    <row r="6">
      <c r="A6" s="2" t="n">
        <v>46451</v>
      </c>
      <c r="B6" s="3" t="inlineStr">
        <is>
          <t>Centre</t>
        </is>
      </c>
      <c r="C6" s="3" t="inlineStr">
        <is>
          <t>T2</t>
        </is>
      </c>
      <c r="D6" s="3" t="inlineStr">
        <is>
          <t>Tableur : graphiques et tableaux croisés</t>
        </is>
      </c>
      <c r="E6" s="3" t="n">
        <v>7</v>
      </c>
      <c r="F6" s="18" t="n"/>
      <c r="G6" s="3">
        <f>IF(F6="","",F6-E6)</f>
        <v/>
      </c>
    </row>
    <row r="7">
      <c r="A7" s="2" t="n">
        <v>46454</v>
      </c>
      <c r="B7" s="3" t="inlineStr">
        <is>
          <t>Centre</t>
        </is>
      </c>
      <c r="C7" s="3" t="inlineStr">
        <is>
          <t>M1.1</t>
        </is>
      </c>
      <c r="D7" s="3" t="inlineStr">
        <is>
          <t>Postures et styles de management</t>
        </is>
      </c>
      <c r="E7" s="3" t="n">
        <v>7</v>
      </c>
      <c r="F7" s="18" t="n"/>
      <c r="G7" s="3">
        <f>IF(F7="","",F7-E7)</f>
        <v/>
      </c>
    </row>
    <row r="8">
      <c r="A8" s="2" t="n">
        <v>46455</v>
      </c>
      <c r="B8" s="3" t="inlineStr">
        <is>
          <t>Centre</t>
        </is>
      </c>
      <c r="C8" s="3" t="inlineStr">
        <is>
          <t>M1.1</t>
        </is>
      </c>
      <c r="D8" s="3" t="inlineStr">
        <is>
          <t>Transmettre des consignes qui ont du sens</t>
        </is>
      </c>
      <c r="E8" s="3" t="n">
        <v>7</v>
      </c>
      <c r="F8" s="18" t="n"/>
      <c r="G8" s="3">
        <f>IF(F8="","",F8-E8)</f>
        <v/>
      </c>
    </row>
    <row r="9">
      <c r="A9" s="2" t="n">
        <v>46456</v>
      </c>
      <c r="B9" s="3" t="inlineStr">
        <is>
          <t>Centre</t>
        </is>
      </c>
      <c r="C9" s="3" t="inlineStr">
        <is>
          <t>M1.1</t>
        </is>
      </c>
      <c r="D9" s="3" t="inlineStr">
        <is>
          <t>Briefings, débriefings et réunions d'équipe</t>
        </is>
      </c>
      <c r="E9" s="3" t="n">
        <v>7</v>
      </c>
      <c r="F9" s="18" t="n"/>
      <c r="G9" s="3">
        <f>IF(F9="","",F9-E9)</f>
        <v/>
      </c>
    </row>
    <row r="10">
      <c r="A10" s="2" t="n">
        <v>46457</v>
      </c>
      <c r="B10" s="3" t="inlineStr">
        <is>
          <t>Centre</t>
        </is>
      </c>
      <c r="C10" s="3" t="inlineStr">
        <is>
          <t>M1.1</t>
        </is>
      </c>
      <c r="D10" s="3" t="inlineStr">
        <is>
          <t>Motivation, cohésion et amélioration continue</t>
        </is>
      </c>
      <c r="E10" s="3" t="n">
        <v>7</v>
      </c>
      <c r="F10" s="18" t="n"/>
      <c r="G10" s="3">
        <f>IF(F10="","",F10-E10)</f>
        <v/>
      </c>
    </row>
    <row r="11">
      <c r="A11" s="2" t="n">
        <v>46458</v>
      </c>
      <c r="B11" s="3" t="inlineStr">
        <is>
          <t>Centre</t>
        </is>
      </c>
      <c r="C11" s="3" t="inlineStr">
        <is>
          <t>M1.1</t>
        </is>
      </c>
      <c r="D11" s="3" t="inlineStr">
        <is>
          <t>Prévention des risques, QHSE et non-discrimination</t>
        </is>
      </c>
      <c r="E11" s="3" t="n">
        <v>7</v>
      </c>
      <c r="F11" s="18" t="n"/>
      <c r="G11" s="3">
        <f>IF(F11="","",F11-E11)</f>
        <v/>
      </c>
    </row>
    <row r="12">
      <c r="A12" s="2" t="n">
        <v>46461</v>
      </c>
      <c r="B12" s="3" t="inlineStr">
        <is>
          <t>Centre</t>
        </is>
      </c>
      <c r="C12" s="3" t="inlineStr">
        <is>
          <t>M1.2</t>
        </is>
      </c>
      <c r="D12" s="3" t="inlineStr">
        <is>
          <t>Cadre légal du temps de travail</t>
        </is>
      </c>
      <c r="E12" s="3" t="n">
        <v>7</v>
      </c>
      <c r="F12" s="18" t="n"/>
      <c r="G12" s="3">
        <f>IF(F12="","",F12-E12)</f>
        <v/>
      </c>
    </row>
    <row r="13">
      <c r="A13" s="2" t="n">
        <v>46462</v>
      </c>
      <c r="B13" s="3" t="inlineStr">
        <is>
          <t>Centre</t>
        </is>
      </c>
      <c r="C13" s="3" t="inlineStr">
        <is>
          <t>M1.2</t>
        </is>
      </c>
      <c r="D13" s="3" t="inlineStr">
        <is>
          <t>Anticiper les besoins humains</t>
        </is>
      </c>
      <c r="E13" s="3" t="n">
        <v>7</v>
      </c>
      <c r="F13" s="18" t="n"/>
      <c r="G13" s="3">
        <f>IF(F13="","",F13-E13)</f>
        <v/>
      </c>
    </row>
    <row r="14">
      <c r="A14" s="2" t="n">
        <v>46463</v>
      </c>
      <c r="B14" s="3" t="inlineStr">
        <is>
          <t>Centre</t>
        </is>
      </c>
      <c r="C14" s="3" t="inlineStr">
        <is>
          <t>M1.2</t>
        </is>
      </c>
      <c r="D14" s="3" t="inlineStr">
        <is>
          <t>Construire et communiquer le planning</t>
        </is>
      </c>
      <c r="E14" s="3" t="n">
        <v>7</v>
      </c>
      <c r="F14" s="18" t="n"/>
      <c r="G14" s="3">
        <f>IF(F14="","",F14-E14)</f>
        <v/>
      </c>
    </row>
    <row r="15">
      <c r="A15" s="2" t="n">
        <v>46464</v>
      </c>
      <c r="B15" s="3" t="inlineStr">
        <is>
          <t>Centre</t>
        </is>
      </c>
      <c r="C15" s="3" t="inlineStr">
        <is>
          <t>M1.2</t>
        </is>
      </c>
      <c r="D15" s="3" t="inlineStr">
        <is>
          <t>Besoins spécifiques et prévention des risques</t>
        </is>
      </c>
      <c r="E15" s="3" t="n">
        <v>7</v>
      </c>
      <c r="F15" s="18" t="n"/>
      <c r="G15" s="3">
        <f>IF(F15="","",F15-E15)</f>
        <v/>
      </c>
    </row>
    <row r="16">
      <c r="A16" s="2" t="n">
        <v>46465</v>
      </c>
      <c r="B16" s="3" t="inlineStr">
        <is>
          <t>Centre</t>
        </is>
      </c>
      <c r="C16" s="3" t="inlineStr">
        <is>
          <t>M1.2</t>
        </is>
      </c>
      <c r="D16" s="3" t="inlineStr">
        <is>
          <t>Gérer les imprévus et réguler l'activité</t>
        </is>
      </c>
      <c r="E16" s="3" t="n">
        <v>7</v>
      </c>
      <c r="F16" s="18" t="n"/>
      <c r="G16" s="3">
        <f>IF(F16="","",F16-E16)</f>
        <v/>
      </c>
    </row>
    <row r="17">
      <c r="A17" s="2" t="n">
        <v>46468</v>
      </c>
      <c r="B17" s="3" t="inlineStr">
        <is>
          <t>Centre</t>
        </is>
      </c>
      <c r="C17" s="3" t="inlineStr">
        <is>
          <t>M1.3</t>
        </is>
      </c>
      <c r="D17" s="3" t="inlineStr">
        <is>
          <t>Évaluer compétences, implication et potentiel</t>
        </is>
      </c>
      <c r="E17" s="3" t="n">
        <v>7</v>
      </c>
      <c r="F17" s="18" t="n"/>
      <c r="G17" s="3">
        <f>IF(F17="","",F17-E17)</f>
        <v/>
      </c>
    </row>
    <row r="18">
      <c r="A18" s="2" t="n">
        <v>46469</v>
      </c>
      <c r="B18" s="3" t="inlineStr">
        <is>
          <t>Centre</t>
        </is>
      </c>
      <c r="C18" s="3" t="inlineStr">
        <is>
          <t>M1.3</t>
        </is>
      </c>
      <c r="D18" s="3" t="inlineStr">
        <is>
          <t>Freins et leviers de motivation</t>
        </is>
      </c>
      <c r="E18" s="3" t="n">
        <v>7</v>
      </c>
      <c r="F18" s="18" t="n"/>
      <c r="G18" s="3">
        <f>IF(F18="","",F18-E18)</f>
        <v/>
      </c>
    </row>
    <row r="19">
      <c r="A19" s="2" t="n">
        <v>46470</v>
      </c>
      <c r="B19" s="3" t="inlineStr">
        <is>
          <t>Centre</t>
        </is>
      </c>
      <c r="C19" s="3" t="inlineStr">
        <is>
          <t>M1.3</t>
        </is>
      </c>
      <c r="D19" s="3" t="inlineStr">
        <is>
          <t>Conduire les entretiens individuels</t>
        </is>
      </c>
      <c r="E19" s="3" t="n">
        <v>7</v>
      </c>
      <c r="F19" s="18" t="n"/>
      <c r="G19" s="3">
        <f>IF(F19="","",F19-E19)</f>
        <v/>
      </c>
    </row>
    <row r="20">
      <c r="A20" s="2" t="n">
        <v>46471</v>
      </c>
      <c r="B20" s="3" t="inlineStr">
        <is>
          <t>Centre</t>
        </is>
      </c>
      <c r="C20" s="3" t="inlineStr">
        <is>
          <t>M1.3</t>
        </is>
      </c>
      <c r="D20" s="3" t="inlineStr">
        <is>
          <t>Plans d'accompagnement et de formation</t>
        </is>
      </c>
      <c r="E20" s="3" t="n">
        <v>7</v>
      </c>
      <c r="F20" s="18" t="n"/>
      <c r="G20" s="3">
        <f>IF(F20="","",F20-E20)</f>
        <v/>
      </c>
    </row>
    <row r="21">
      <c r="A21" s="2" t="n">
        <v>46472</v>
      </c>
      <c r="B21" s="3" t="inlineStr">
        <is>
          <t>Centre</t>
        </is>
      </c>
      <c r="C21" s="3" t="inlineStr">
        <is>
          <t>M1.3</t>
        </is>
      </c>
      <c r="D21" s="3" t="inlineStr">
        <is>
          <t>Confidentialité, équité et handicap</t>
        </is>
      </c>
      <c r="E21" s="3" t="n">
        <v>7</v>
      </c>
      <c r="F21" s="18" t="n"/>
      <c r="G21" s="3">
        <f>IF(F21="","",F21-E21)</f>
        <v/>
      </c>
    </row>
    <row r="22">
      <c r="A22" s="2" t="n">
        <v>46476</v>
      </c>
      <c r="B22" s="3" t="inlineStr">
        <is>
          <t>Centre</t>
        </is>
      </c>
      <c r="C22" s="3" t="inlineStr">
        <is>
          <t>M1.4</t>
        </is>
      </c>
      <c r="D22" s="3" t="inlineStr">
        <is>
          <t>Identifier un besoin et analyser un poste</t>
        </is>
      </c>
      <c r="E22" s="3" t="n">
        <v>7</v>
      </c>
      <c r="F22" s="18" t="n"/>
      <c r="G22" s="3">
        <f>IF(F22="","",F22-E22)</f>
        <v/>
      </c>
    </row>
    <row r="23">
      <c r="A23" s="2" t="n">
        <v>46477</v>
      </c>
      <c r="B23" s="3" t="inlineStr">
        <is>
          <t>Centre</t>
        </is>
      </c>
      <c r="C23" s="3" t="inlineStr">
        <is>
          <t>M1.4</t>
        </is>
      </c>
      <c r="D23" s="3" t="inlineStr">
        <is>
          <t>Sélectionner sans discriminer</t>
        </is>
      </c>
      <c r="E23" s="3" t="n">
        <v>7</v>
      </c>
      <c r="F23" s="18" t="n"/>
      <c r="G23" s="3">
        <f>IF(F23="","",F23-E23)</f>
        <v/>
      </c>
    </row>
    <row r="24">
      <c r="A24" s="2" t="n">
        <v>46478</v>
      </c>
      <c r="B24" s="3" t="inlineStr">
        <is>
          <t>Centre</t>
        </is>
      </c>
      <c r="C24" s="3" t="inlineStr">
        <is>
          <t>M1.4</t>
        </is>
      </c>
      <c r="D24" s="3" t="inlineStr">
        <is>
          <t>Conduire un entretien de recrutement</t>
        </is>
      </c>
      <c r="E24" s="3" t="n">
        <v>7</v>
      </c>
      <c r="F24" s="18" t="n"/>
      <c r="G24" s="3">
        <f>IF(F24="","",F24-E24)</f>
        <v/>
      </c>
    </row>
    <row r="25">
      <c r="A25" s="2" t="n">
        <v>46479</v>
      </c>
      <c r="B25" s="3" t="inlineStr">
        <is>
          <t>Centre</t>
        </is>
      </c>
      <c r="C25" s="3" t="inlineStr">
        <is>
          <t>M1.4</t>
        </is>
      </c>
      <c r="D25" s="3" t="inlineStr">
        <is>
          <t>Parcours d'intégration et tutorat</t>
        </is>
      </c>
      <c r="E25" s="3" t="n">
        <v>7</v>
      </c>
      <c r="F25" s="18" t="n"/>
      <c r="G25" s="3">
        <f>IF(F25="","",F25-E25)</f>
        <v/>
      </c>
    </row>
    <row r="26">
      <c r="A26" s="2" t="n">
        <v>46482</v>
      </c>
      <c r="B26" s="3" t="inlineStr">
        <is>
          <t>Centre</t>
        </is>
      </c>
      <c r="C26" s="3" t="inlineStr">
        <is>
          <t>M1.4</t>
        </is>
      </c>
      <c r="D26" s="3" t="inlineStr">
        <is>
          <t>Suivre la période d'essai et adapter le poste</t>
        </is>
      </c>
      <c r="E26" s="3" t="n">
        <v>7</v>
      </c>
      <c r="F26" s="18" t="n"/>
      <c r="G26" s="3">
        <f>IF(F26="","",F26-E26)</f>
        <v/>
      </c>
    </row>
    <row r="27">
      <c r="A27" s="2" t="n">
        <v>46483</v>
      </c>
      <c r="B27" s="3" t="inlineStr">
        <is>
          <t>Centre</t>
        </is>
      </c>
      <c r="C27" s="3" t="inlineStr">
        <is>
          <t>T4</t>
        </is>
      </c>
      <c r="D27" s="3" t="inlineStr">
        <is>
          <t>Trouver sa structure d'accueil</t>
        </is>
      </c>
      <c r="E27" s="3" t="n">
        <v>7</v>
      </c>
      <c r="F27" s="18" t="n"/>
      <c r="G27" s="3">
        <f>IF(F27="","",F27-E27)</f>
        <v/>
      </c>
    </row>
    <row r="28">
      <c r="A28" s="2" t="n">
        <v>46484</v>
      </c>
      <c r="B28" s="3" t="inlineStr">
        <is>
          <t>Centre</t>
        </is>
      </c>
      <c r="C28" s="3" t="inlineStr">
        <is>
          <t>T4</t>
        </is>
      </c>
      <c r="D28" s="3" t="inlineStr">
        <is>
          <t>Objectifs de la période et collecte de preuves</t>
        </is>
      </c>
      <c r="E28" s="3" t="n">
        <v>7</v>
      </c>
      <c r="F28" s="18" t="n"/>
      <c r="G28" s="3">
        <f>IF(F28="","",F28-E28)</f>
        <v/>
      </c>
    </row>
    <row r="29">
      <c r="A29" s="2" t="n">
        <v>46485</v>
      </c>
      <c r="B29" s="3" t="inlineStr">
        <is>
          <t>Centre</t>
        </is>
      </c>
      <c r="C29" s="3" t="inlineStr">
        <is>
          <t>M2.1</t>
        </is>
      </c>
      <c r="D29" s="3" t="inlineStr">
        <is>
          <t>Circuits d'approvisionnement et de distribution</t>
        </is>
      </c>
      <c r="E29" s="3" t="n">
        <v>7</v>
      </c>
      <c r="F29" s="18" t="n"/>
      <c r="G29" s="3">
        <f>IF(F29="","",F29-E29)</f>
        <v/>
      </c>
    </row>
    <row r="30">
      <c r="A30" s="2" t="n">
        <v>46486</v>
      </c>
      <c r="B30" s="3" t="inlineStr">
        <is>
          <t>Centre</t>
        </is>
      </c>
      <c r="C30" s="3" t="inlineStr">
        <is>
          <t>M2.1</t>
        </is>
      </c>
      <c r="D30" s="3" t="inlineStr">
        <is>
          <t>Analyser stocks, ventes et tendances</t>
        </is>
      </c>
      <c r="E30" s="3" t="n">
        <v>7</v>
      </c>
      <c r="F30" s="18" t="n"/>
      <c r="G30" s="3">
        <f>IF(F30="","",F30-E30)</f>
        <v/>
      </c>
    </row>
    <row r="31">
      <c r="A31" s="2" t="n">
        <v>46489</v>
      </c>
      <c r="B31" s="3" t="inlineStr">
        <is>
          <t>Centre</t>
        </is>
      </c>
      <c r="C31" s="3" t="inlineStr">
        <is>
          <t>M2.1</t>
        </is>
      </c>
      <c r="D31" s="3" t="inlineStr">
        <is>
          <t>Déterminer et passer les commandes</t>
        </is>
      </c>
      <c r="E31" s="3" t="n">
        <v>7</v>
      </c>
      <c r="F31" s="18" t="n"/>
      <c r="G31" s="3">
        <f>IF(F31="","",F31-E31)</f>
        <v/>
      </c>
    </row>
    <row r="32">
      <c r="A32" s="2" t="n">
        <v>46490</v>
      </c>
      <c r="B32" s="3" t="inlineStr">
        <is>
          <t>Centre</t>
        </is>
      </c>
      <c r="C32" s="3" t="inlineStr">
        <is>
          <t>M2.1</t>
        </is>
      </c>
      <c r="D32" s="3" t="inlineStr">
        <is>
          <t>Réceptionner et contrôler les livraisons</t>
        </is>
      </c>
      <c r="E32" s="3" t="n">
        <v>7</v>
      </c>
      <c r="F32" s="18" t="n"/>
      <c r="G32" s="3">
        <f>IF(F32="","",F32-E32)</f>
        <v/>
      </c>
    </row>
    <row r="33">
      <c r="A33" s="2" t="n">
        <v>46491</v>
      </c>
      <c r="B33" s="3" t="inlineStr">
        <is>
          <t>Centre</t>
        </is>
      </c>
      <c r="C33" s="3" t="inlineStr">
        <is>
          <t>M2.1</t>
        </is>
      </c>
      <c r="D33" s="3" t="inlineStr">
        <is>
          <t>Stocker, inventorier et lutter contre la démarque</t>
        </is>
      </c>
      <c r="E33" s="3" t="n">
        <v>7</v>
      </c>
      <c r="F33" s="18" t="n"/>
      <c r="G33" s="3">
        <f>IF(F33="","",F33-E33)</f>
        <v/>
      </c>
    </row>
    <row r="34">
      <c r="A34" s="2" t="n">
        <v>46492</v>
      </c>
      <c r="B34" s="3" t="inlineStr">
        <is>
          <t>Centre</t>
        </is>
      </c>
      <c r="C34" s="3" t="inlineStr">
        <is>
          <t>M2.1</t>
        </is>
      </c>
      <c r="D34" s="3" t="inlineStr">
        <is>
          <t>Prévention des risques en réserve</t>
        </is>
      </c>
      <c r="E34" s="3" t="n">
        <v>7</v>
      </c>
      <c r="F34" s="18" t="n"/>
      <c r="G34" s="3">
        <f>IF(F34="","",F34-E34)</f>
        <v/>
      </c>
    </row>
    <row r="35">
      <c r="A35" s="2" t="n">
        <v>46493</v>
      </c>
      <c r="B35" s="3" t="inlineStr">
        <is>
          <t>Centre</t>
        </is>
      </c>
      <c r="C35" s="3" t="inlineStr">
        <is>
          <t>M2.1</t>
        </is>
      </c>
      <c r="D35" s="3" t="inlineStr">
        <is>
          <t>RSE : déchets, vrac et anti-gaspillage</t>
        </is>
      </c>
      <c r="E35" s="3" t="n">
        <v>7</v>
      </c>
      <c r="F35" s="18" t="n"/>
      <c r="G35" s="3">
        <f>IF(F35="","",F35-E35)</f>
        <v/>
      </c>
    </row>
    <row r="36">
      <c r="A36" s="2" t="n">
        <v>46496</v>
      </c>
      <c r="B36" s="3" t="inlineStr">
        <is>
          <t>Centre</t>
        </is>
      </c>
      <c r="C36" s="3" t="inlineStr">
        <is>
          <t>M2.2</t>
        </is>
      </c>
      <c r="D36" s="3" t="inlineStr">
        <is>
          <t>Merchandising de gestion, d'organisation et de séduction</t>
        </is>
      </c>
      <c r="E36" s="3" t="n">
        <v>7</v>
      </c>
      <c r="F36" s="18" t="n"/>
      <c r="G36" s="3">
        <f>IF(F36="","",F36-E36)</f>
        <v/>
      </c>
    </row>
    <row r="37">
      <c r="A37" s="2" t="n">
        <v>46497</v>
      </c>
      <c r="B37" s="3" t="inlineStr">
        <is>
          <t>Centre</t>
        </is>
      </c>
      <c r="C37" s="3" t="inlineStr">
        <is>
          <t>M2.2</t>
        </is>
      </c>
      <c r="D37" s="3" t="inlineStr">
        <is>
          <t>Plan d'implantation et assortiment</t>
        </is>
      </c>
      <c r="E37" s="3" t="n">
        <v>7</v>
      </c>
      <c r="F37" s="18" t="n"/>
      <c r="G37" s="3">
        <f>IF(F37="","",F37-E37)</f>
        <v/>
      </c>
    </row>
    <row r="38">
      <c r="A38" s="2" t="n">
        <v>46498</v>
      </c>
      <c r="B38" s="3" t="inlineStr">
        <is>
          <t>Centre</t>
        </is>
      </c>
      <c r="C38" s="3" t="inlineStr">
        <is>
          <t>M2.2</t>
        </is>
      </c>
      <c r="D38" s="3" t="inlineStr">
        <is>
          <t>Implanter l'offre permanente et saisonnière</t>
        </is>
      </c>
      <c r="E38" s="3" t="n">
        <v>7</v>
      </c>
      <c r="F38" s="18" t="n"/>
      <c r="G38" s="3">
        <f>IF(F38="","",F38-E38)</f>
        <v/>
      </c>
    </row>
    <row r="39">
      <c r="A39" s="2" t="n">
        <v>46499</v>
      </c>
      <c r="B39" s="3" t="inlineStr">
        <is>
          <t>Centre</t>
        </is>
      </c>
      <c r="C39" s="3" t="inlineStr">
        <is>
          <t>M2.2</t>
        </is>
      </c>
      <c r="D39" s="3" t="inlineStr">
        <is>
          <t>Calendrier commercial et réglementation</t>
        </is>
      </c>
      <c r="E39" s="3" t="n">
        <v>7</v>
      </c>
      <c r="F39" s="18" t="n"/>
      <c r="G39" s="3">
        <f>IF(F39="","",F39-E39)</f>
        <v/>
      </c>
    </row>
    <row r="40">
      <c r="A40" s="2" t="n">
        <v>46500</v>
      </c>
      <c r="B40" s="3" t="inlineStr">
        <is>
          <t>Centre</t>
        </is>
      </c>
      <c r="C40" s="3" t="inlineStr">
        <is>
          <t>M2.2</t>
        </is>
      </c>
      <c r="D40" s="3" t="inlineStr">
        <is>
          <t>Préparer une opération commerciale</t>
        </is>
      </c>
      <c r="E40" s="3" t="n">
        <v>7</v>
      </c>
      <c r="F40" s="18" t="n"/>
      <c r="G40" s="3">
        <f>IF(F40="","",F40-E40)</f>
        <v/>
      </c>
    </row>
    <row r="41">
      <c r="A41" s="2" t="n">
        <v>46503</v>
      </c>
      <c r="B41" s="3" t="inlineStr">
        <is>
          <t>Centre</t>
        </is>
      </c>
      <c r="C41" s="3" t="inlineStr">
        <is>
          <t>M2.2</t>
        </is>
      </c>
      <c r="D41" s="3" t="inlineStr">
        <is>
          <t>Mettre en œuvre avec l'équipe en sécurité</t>
        </is>
      </c>
      <c r="E41" s="3" t="n">
        <v>7</v>
      </c>
      <c r="F41" s="18" t="n"/>
      <c r="G41" s="3">
        <f>IF(F41="","",F41-E41)</f>
        <v/>
      </c>
    </row>
    <row r="42">
      <c r="A42" s="2" t="n">
        <v>46504</v>
      </c>
      <c r="B42" s="3" t="inlineStr">
        <is>
          <t>Centre</t>
        </is>
      </c>
      <c r="C42" s="3" t="inlineStr">
        <is>
          <t>M2.2</t>
        </is>
      </c>
      <c r="D42" s="3" t="inlineStr">
        <is>
          <t>Éco-merchandising, vrac et seconde main</t>
        </is>
      </c>
      <c r="E42" s="3" t="n">
        <v>7</v>
      </c>
      <c r="F42" s="18" t="n"/>
      <c r="G42" s="3">
        <f>IF(F42="","",F42-E42)</f>
        <v/>
      </c>
    </row>
    <row r="43">
      <c r="A43" s="2" t="n">
        <v>46505</v>
      </c>
      <c r="B43" s="3" t="inlineStr">
        <is>
          <t>Centre</t>
        </is>
      </c>
      <c r="C43" s="3" t="inlineStr">
        <is>
          <t>M2.2</t>
        </is>
      </c>
      <c r="D43" s="3" t="inlineStr">
        <is>
          <t>Analyser les résultats d'une implantation</t>
        </is>
      </c>
      <c r="E43" s="3" t="n">
        <v>7</v>
      </c>
      <c r="F43" s="18" t="n"/>
      <c r="G43" s="3">
        <f>IF(F43="","",F43-E43)</f>
        <v/>
      </c>
    </row>
    <row r="44">
      <c r="A44" s="2" t="n">
        <v>46506</v>
      </c>
      <c r="B44" s="3" t="inlineStr">
        <is>
          <t>Centre</t>
        </is>
      </c>
      <c r="C44" s="3" t="inlineStr">
        <is>
          <t>M2.3</t>
        </is>
      </c>
      <c r="D44" s="3" t="inlineStr">
        <is>
          <t>Attentes clients et tendances de consommation</t>
        </is>
      </c>
      <c r="E44" s="3" t="n">
        <v>7</v>
      </c>
      <c r="F44" s="18" t="n"/>
      <c r="G44" s="3">
        <f>IF(F44="","",F44-E44)</f>
        <v/>
      </c>
    </row>
    <row r="45">
      <c r="A45" s="2" t="n">
        <v>46507</v>
      </c>
      <c r="B45" s="3" t="inlineStr">
        <is>
          <t>Centre</t>
        </is>
      </c>
      <c r="C45" s="3" t="inlineStr">
        <is>
          <t>M2.3</t>
        </is>
      </c>
      <c r="D45" s="3" t="inlineStr">
        <is>
          <t>Parcours omnicanal et outils de relation client</t>
        </is>
      </c>
      <c r="E45" s="3" t="n">
        <v>7</v>
      </c>
      <c r="F45" s="18" t="n"/>
      <c r="G45" s="3">
        <f>IF(F45="","",F45-E45)</f>
        <v/>
      </c>
    </row>
    <row r="46">
      <c r="A46" s="2" t="n">
        <v>46510</v>
      </c>
      <c r="B46" s="3" t="inlineStr">
        <is>
          <t>Centre</t>
        </is>
      </c>
      <c r="C46" s="3" t="inlineStr">
        <is>
          <t>M2.3</t>
        </is>
      </c>
      <c r="D46" s="3" t="inlineStr">
        <is>
          <t>Accueil des clients en situation de handicap</t>
        </is>
      </c>
      <c r="E46" s="3" t="n">
        <v>7</v>
      </c>
      <c r="F46" s="18" t="n"/>
      <c r="G46" s="3">
        <f>IF(F46="","",F46-E46)</f>
        <v/>
      </c>
    </row>
    <row r="47">
      <c r="A47" s="2" t="n">
        <v>46511</v>
      </c>
      <c r="B47" s="3" t="inlineStr">
        <is>
          <t>Centre</t>
        </is>
      </c>
      <c r="C47" s="3" t="inlineStr">
        <is>
          <t>M2.3</t>
        </is>
      </c>
      <c r="D47" s="3" t="inlineStr">
        <is>
          <t>Argumentaires et valorisation de l'offre</t>
        </is>
      </c>
      <c r="E47" s="3" t="n">
        <v>7</v>
      </c>
      <c r="F47" s="18" t="n"/>
      <c r="G47" s="3">
        <f>IF(F47="","",F47-E47)</f>
        <v/>
      </c>
    </row>
    <row r="48">
      <c r="A48" s="2" t="n">
        <v>46512</v>
      </c>
      <c r="B48" s="3" t="inlineStr">
        <is>
          <t>Centre</t>
        </is>
      </c>
      <c r="C48" s="3" t="inlineStr">
        <is>
          <t>M2.3</t>
        </is>
      </c>
      <c r="D48" s="3" t="inlineStr">
        <is>
          <t>Réclamations, litiges et incivilités</t>
        </is>
      </c>
      <c r="E48" s="3" t="n">
        <v>7</v>
      </c>
      <c r="F48" s="18" t="n"/>
      <c r="G48" s="3">
        <f>IF(F48="","",F48-E48)</f>
        <v/>
      </c>
    </row>
    <row r="49">
      <c r="A49" s="2" t="n">
        <v>46514</v>
      </c>
      <c r="B49" s="3" t="inlineStr">
        <is>
          <t>Centre</t>
        </is>
      </c>
      <c r="C49" s="3" t="inlineStr">
        <is>
          <t>M2.3</t>
        </is>
      </c>
      <c r="D49" s="3" t="inlineStr">
        <is>
          <t>Valoriser l'offre sur les supports numériques</t>
        </is>
      </c>
      <c r="E49" s="3" t="n">
        <v>7</v>
      </c>
      <c r="F49" s="18" t="n"/>
      <c r="G49" s="3">
        <f>IF(F49="","",F49-E49)</f>
        <v/>
      </c>
    </row>
    <row r="50">
      <c r="A50" s="2" t="n">
        <v>46517</v>
      </c>
      <c r="B50" s="3" t="inlineStr">
        <is>
          <t>Centre</t>
        </is>
      </c>
      <c r="C50" s="3" t="inlineStr">
        <is>
          <t>M2.3</t>
        </is>
      </c>
      <c r="D50" s="3" t="inlineStr">
        <is>
          <t>Mesurer la satisfaction et proposer des améliorations</t>
        </is>
      </c>
      <c r="E50" s="3" t="n">
        <v>7</v>
      </c>
      <c r="F50" s="18" t="n"/>
      <c r="G50" s="3">
        <f>IF(F50="","",F50-E50)</f>
        <v/>
      </c>
    </row>
    <row r="51">
      <c r="A51" s="2" t="n">
        <v>46518</v>
      </c>
      <c r="B51" s="3" t="inlineStr">
        <is>
          <t>Centre</t>
        </is>
      </c>
      <c r="C51" s="3" t="inlineStr">
        <is>
          <t>T6</t>
        </is>
      </c>
      <c r="D51" s="3" t="inlineStr">
        <is>
          <t>Bilan de mi-parcours</t>
        </is>
      </c>
      <c r="E51" s="3" t="n">
        <v>7</v>
      </c>
      <c r="F51" s="18" t="n"/>
      <c r="G51" s="3">
        <f>IF(F51="","",F51-E51)</f>
        <v/>
      </c>
    </row>
    <row r="52">
      <c r="A52" s="2" t="n">
        <v>46519</v>
      </c>
      <c r="B52" s="3" t="inlineStr">
        <is>
          <t>Entreprise</t>
        </is>
      </c>
      <c r="C52" s="3" t="inlineStr">
        <is>
          <t>PAE</t>
        </is>
      </c>
      <c r="D52" s="3" t="inlineStr">
        <is>
          <t>Période en entreprise n° 1 — jour 1/20</t>
        </is>
      </c>
      <c r="E52" s="3" t="n">
        <v>7</v>
      </c>
      <c r="F52" s="18" t="n"/>
      <c r="G52" s="3">
        <f>IF(F52="","",F52-E52)</f>
        <v/>
      </c>
    </row>
    <row r="53">
      <c r="A53" s="2" t="n">
        <v>46520</v>
      </c>
      <c r="B53" s="3" t="inlineStr">
        <is>
          <t>Entreprise</t>
        </is>
      </c>
      <c r="C53" s="3" t="inlineStr">
        <is>
          <t>PAE</t>
        </is>
      </c>
      <c r="D53" s="3" t="inlineStr">
        <is>
          <t>Période en entreprise n° 1 — jour 2/20</t>
        </is>
      </c>
      <c r="E53" s="3" t="n">
        <v>7</v>
      </c>
      <c r="F53" s="18" t="n"/>
      <c r="G53" s="3">
        <f>IF(F53="","",F53-E53)</f>
        <v/>
      </c>
    </row>
    <row r="54">
      <c r="A54" s="2" t="n">
        <v>46521</v>
      </c>
      <c r="B54" s="3" t="inlineStr">
        <is>
          <t>Entreprise</t>
        </is>
      </c>
      <c r="C54" s="3" t="inlineStr">
        <is>
          <t>PAE</t>
        </is>
      </c>
      <c r="D54" s="3" t="inlineStr">
        <is>
          <t>Période en entreprise n° 1 — jour 3/20</t>
        </is>
      </c>
      <c r="E54" s="3" t="n">
        <v>7</v>
      </c>
      <c r="F54" s="18" t="n"/>
      <c r="G54" s="3">
        <f>IF(F54="","",F54-E54)</f>
        <v/>
      </c>
    </row>
    <row r="55">
      <c r="A55" s="2" t="n">
        <v>46525</v>
      </c>
      <c r="B55" s="3" t="inlineStr">
        <is>
          <t>Entreprise</t>
        </is>
      </c>
      <c r="C55" s="3" t="inlineStr">
        <is>
          <t>PAE</t>
        </is>
      </c>
      <c r="D55" s="3" t="inlineStr">
        <is>
          <t>Période en entreprise n° 1 — jour 4/20</t>
        </is>
      </c>
      <c r="E55" s="3" t="n">
        <v>7</v>
      </c>
      <c r="F55" s="18" t="n"/>
      <c r="G55" s="3">
        <f>IF(F55="","",F55-E55)</f>
        <v/>
      </c>
    </row>
    <row r="56">
      <c r="A56" s="2" t="n">
        <v>46526</v>
      </c>
      <c r="B56" s="3" t="inlineStr">
        <is>
          <t>Entreprise</t>
        </is>
      </c>
      <c r="C56" s="3" t="inlineStr">
        <is>
          <t>PAE</t>
        </is>
      </c>
      <c r="D56" s="3" t="inlineStr">
        <is>
          <t>Période en entreprise n° 1 — jour 5/20</t>
        </is>
      </c>
      <c r="E56" s="3" t="n">
        <v>7</v>
      </c>
      <c r="F56" s="18" t="n"/>
      <c r="G56" s="3">
        <f>IF(F56="","",F56-E56)</f>
        <v/>
      </c>
    </row>
    <row r="57">
      <c r="A57" s="2" t="n">
        <v>46527</v>
      </c>
      <c r="B57" s="3" t="inlineStr">
        <is>
          <t>Entreprise</t>
        </is>
      </c>
      <c r="C57" s="3" t="inlineStr">
        <is>
          <t>PAE</t>
        </is>
      </c>
      <c r="D57" s="3" t="inlineStr">
        <is>
          <t>Période en entreprise n° 1 — jour 6/20</t>
        </is>
      </c>
      <c r="E57" s="3" t="n">
        <v>7</v>
      </c>
      <c r="F57" s="18" t="n"/>
      <c r="G57" s="3">
        <f>IF(F57="","",F57-E57)</f>
        <v/>
      </c>
    </row>
    <row r="58">
      <c r="A58" s="2" t="n">
        <v>46528</v>
      </c>
      <c r="B58" s="3" t="inlineStr">
        <is>
          <t>Entreprise</t>
        </is>
      </c>
      <c r="C58" s="3" t="inlineStr">
        <is>
          <t>PAE</t>
        </is>
      </c>
      <c r="D58" s="3" t="inlineStr">
        <is>
          <t>Période en entreprise n° 1 — jour 7/20</t>
        </is>
      </c>
      <c r="E58" s="3" t="n">
        <v>7</v>
      </c>
      <c r="F58" s="18" t="n"/>
      <c r="G58" s="3">
        <f>IF(F58="","",F58-E58)</f>
        <v/>
      </c>
    </row>
    <row r="59">
      <c r="A59" s="2" t="n">
        <v>46531</v>
      </c>
      <c r="B59" s="3" t="inlineStr">
        <is>
          <t>Entreprise</t>
        </is>
      </c>
      <c r="C59" s="3" t="inlineStr">
        <is>
          <t>PAE</t>
        </is>
      </c>
      <c r="D59" s="3" t="inlineStr">
        <is>
          <t>Période en entreprise n° 1 — jour 8/20</t>
        </is>
      </c>
      <c r="E59" s="3" t="n">
        <v>7</v>
      </c>
      <c r="F59" s="18" t="n"/>
      <c r="G59" s="3">
        <f>IF(F59="","",F59-E59)</f>
        <v/>
      </c>
    </row>
    <row r="60">
      <c r="A60" s="2" t="n">
        <v>46532</v>
      </c>
      <c r="B60" s="3" t="inlineStr">
        <is>
          <t>Entreprise</t>
        </is>
      </c>
      <c r="C60" s="3" t="inlineStr">
        <is>
          <t>PAE</t>
        </is>
      </c>
      <c r="D60" s="3" t="inlineStr">
        <is>
          <t>Période en entreprise n° 1 — jour 9/20</t>
        </is>
      </c>
      <c r="E60" s="3" t="n">
        <v>7</v>
      </c>
      <c r="F60" s="18" t="n"/>
      <c r="G60" s="3">
        <f>IF(F60="","",F60-E60)</f>
        <v/>
      </c>
    </row>
    <row r="61">
      <c r="A61" s="2" t="n">
        <v>46533</v>
      </c>
      <c r="B61" s="3" t="inlineStr">
        <is>
          <t>Entreprise</t>
        </is>
      </c>
      <c r="C61" s="3" t="inlineStr">
        <is>
          <t>PAE</t>
        </is>
      </c>
      <c r="D61" s="3" t="inlineStr">
        <is>
          <t>Période en entreprise n° 1 — jour 10/20</t>
        </is>
      </c>
      <c r="E61" s="3" t="n">
        <v>7</v>
      </c>
      <c r="F61" s="18" t="n"/>
      <c r="G61" s="3">
        <f>IF(F61="","",F61-E61)</f>
        <v/>
      </c>
    </row>
    <row r="62">
      <c r="A62" s="2" t="n">
        <v>46534</v>
      </c>
      <c r="B62" s="3" t="inlineStr">
        <is>
          <t>Entreprise</t>
        </is>
      </c>
      <c r="C62" s="3" t="inlineStr">
        <is>
          <t>PAE</t>
        </is>
      </c>
      <c r="D62" s="3" t="inlineStr">
        <is>
          <t>Période en entreprise n° 1 — jour 11/20</t>
        </is>
      </c>
      <c r="E62" s="3" t="n">
        <v>7</v>
      </c>
      <c r="F62" s="18" t="n"/>
      <c r="G62" s="3">
        <f>IF(F62="","",F62-E62)</f>
        <v/>
      </c>
    </row>
    <row r="63">
      <c r="A63" s="2" t="n">
        <v>46535</v>
      </c>
      <c r="B63" s="3" t="inlineStr">
        <is>
          <t>Entreprise</t>
        </is>
      </c>
      <c r="C63" s="3" t="inlineStr">
        <is>
          <t>PAE</t>
        </is>
      </c>
      <c r="D63" s="3" t="inlineStr">
        <is>
          <t>Période en entreprise n° 1 — jour 12/20</t>
        </is>
      </c>
      <c r="E63" s="3" t="n">
        <v>7</v>
      </c>
      <c r="F63" s="18" t="n"/>
      <c r="G63" s="3">
        <f>IF(F63="","",F63-E63)</f>
        <v/>
      </c>
    </row>
    <row r="64">
      <c r="A64" s="2" t="n">
        <v>46538</v>
      </c>
      <c r="B64" s="3" t="inlineStr">
        <is>
          <t>Entreprise</t>
        </is>
      </c>
      <c r="C64" s="3" t="inlineStr">
        <is>
          <t>PAE</t>
        </is>
      </c>
      <c r="D64" s="3" t="inlineStr">
        <is>
          <t>Période en entreprise n° 1 — jour 13/20</t>
        </is>
      </c>
      <c r="E64" s="3" t="n">
        <v>7</v>
      </c>
      <c r="F64" s="18" t="n"/>
      <c r="G64" s="3">
        <f>IF(F64="","",F64-E64)</f>
        <v/>
      </c>
    </row>
    <row r="65">
      <c r="A65" s="2" t="n">
        <v>46539</v>
      </c>
      <c r="B65" s="3" t="inlineStr">
        <is>
          <t>Entreprise</t>
        </is>
      </c>
      <c r="C65" s="3" t="inlineStr">
        <is>
          <t>PAE</t>
        </is>
      </c>
      <c r="D65" s="3" t="inlineStr">
        <is>
          <t>Période en entreprise n° 1 — jour 14/20</t>
        </is>
      </c>
      <c r="E65" s="3" t="n">
        <v>7</v>
      </c>
      <c r="F65" s="18" t="n"/>
      <c r="G65" s="3">
        <f>IF(F65="","",F65-E65)</f>
        <v/>
      </c>
    </row>
    <row r="66">
      <c r="A66" s="2" t="n">
        <v>46540</v>
      </c>
      <c r="B66" s="3" t="inlineStr">
        <is>
          <t>Entreprise</t>
        </is>
      </c>
      <c r="C66" s="3" t="inlineStr">
        <is>
          <t>PAE</t>
        </is>
      </c>
      <c r="D66" s="3" t="inlineStr">
        <is>
          <t>Période en entreprise n° 1 — jour 15/20</t>
        </is>
      </c>
      <c r="E66" s="3" t="n">
        <v>7</v>
      </c>
      <c r="F66" s="18" t="n"/>
      <c r="G66" s="3">
        <f>IF(F66="","",F66-E66)</f>
        <v/>
      </c>
    </row>
    <row r="67">
      <c r="A67" s="2" t="n">
        <v>46541</v>
      </c>
      <c r="B67" s="3" t="inlineStr">
        <is>
          <t>Entreprise</t>
        </is>
      </c>
      <c r="C67" s="3" t="inlineStr">
        <is>
          <t>PAE</t>
        </is>
      </c>
      <c r="D67" s="3" t="inlineStr">
        <is>
          <t>Période en entreprise n° 1 — jour 16/20</t>
        </is>
      </c>
      <c r="E67" s="3" t="n">
        <v>7</v>
      </c>
      <c r="F67" s="18" t="n"/>
      <c r="G67" s="3">
        <f>IF(F67="","",F67-E67)</f>
        <v/>
      </c>
    </row>
    <row r="68">
      <c r="A68" s="2" t="n">
        <v>46542</v>
      </c>
      <c r="B68" s="3" t="inlineStr">
        <is>
          <t>Entreprise</t>
        </is>
      </c>
      <c r="C68" s="3" t="inlineStr">
        <is>
          <t>PAE</t>
        </is>
      </c>
      <c r="D68" s="3" t="inlineStr">
        <is>
          <t>Période en entreprise n° 1 — jour 17/20</t>
        </is>
      </c>
      <c r="E68" s="3" t="n">
        <v>7</v>
      </c>
      <c r="F68" s="18" t="n"/>
      <c r="G68" s="3">
        <f>IF(F68="","",F68-E68)</f>
        <v/>
      </c>
    </row>
    <row r="69">
      <c r="A69" s="2" t="n">
        <v>46545</v>
      </c>
      <c r="B69" s="3" t="inlineStr">
        <is>
          <t>Entreprise</t>
        </is>
      </c>
      <c r="C69" s="3" t="inlineStr">
        <is>
          <t>PAE</t>
        </is>
      </c>
      <c r="D69" s="3" t="inlineStr">
        <is>
          <t>Période en entreprise n° 1 — jour 18/20</t>
        </is>
      </c>
      <c r="E69" s="3" t="n">
        <v>7</v>
      </c>
      <c r="F69" s="18" t="n"/>
      <c r="G69" s="3">
        <f>IF(F69="","",F69-E69)</f>
        <v/>
      </c>
    </row>
    <row r="70">
      <c r="A70" s="2" t="n">
        <v>46546</v>
      </c>
      <c r="B70" s="3" t="inlineStr">
        <is>
          <t>Entreprise</t>
        </is>
      </c>
      <c r="C70" s="3" t="inlineStr">
        <is>
          <t>PAE</t>
        </is>
      </c>
      <c r="D70" s="3" t="inlineStr">
        <is>
          <t>Période en entreprise n° 1 — jour 19/20</t>
        </is>
      </c>
      <c r="E70" s="3" t="n">
        <v>7</v>
      </c>
      <c r="F70" s="18" t="n"/>
      <c r="G70" s="3">
        <f>IF(F70="","",F70-E70)</f>
        <v/>
      </c>
    </row>
    <row r="71">
      <c r="A71" s="2" t="n">
        <v>46547</v>
      </c>
      <c r="B71" s="3" t="inlineStr">
        <is>
          <t>Entreprise</t>
        </is>
      </c>
      <c r="C71" s="3" t="inlineStr">
        <is>
          <t>PAE</t>
        </is>
      </c>
      <c r="D71" s="3" t="inlineStr">
        <is>
          <t>Période en entreprise n° 1 — jour 20/20</t>
        </is>
      </c>
      <c r="E71" s="3" t="n">
        <v>7</v>
      </c>
      <c r="F71" s="18" t="n"/>
      <c r="G71" s="3">
        <f>IF(F71="","",F71-E71)</f>
        <v/>
      </c>
    </row>
    <row r="72">
      <c r="A72" s="2" t="n">
        <v>46548</v>
      </c>
      <c r="B72" s="3" t="inlineStr">
        <is>
          <t>Centre</t>
        </is>
      </c>
      <c r="C72" s="3" t="inlineStr">
        <is>
          <t>T1</t>
        </is>
      </c>
      <c r="D72" s="3" t="inlineStr">
        <is>
          <t>Comprendre l'IA générative</t>
        </is>
      </c>
      <c r="E72" s="3" t="n">
        <v>7</v>
      </c>
      <c r="F72" s="18" t="n"/>
      <c r="G72" s="3">
        <f>IF(F72="","",F72-E72)</f>
        <v/>
      </c>
    </row>
    <row r="73">
      <c r="A73" s="2" t="n">
        <v>46549</v>
      </c>
      <c r="B73" s="3" t="inlineStr">
        <is>
          <t>Centre</t>
        </is>
      </c>
      <c r="C73" s="3" t="inlineStr">
        <is>
          <t>T1</t>
        </is>
      </c>
      <c r="D73" s="3" t="inlineStr">
        <is>
          <t>Rédiger des consignes efficaces</t>
        </is>
      </c>
      <c r="E73" s="3" t="n">
        <v>7</v>
      </c>
      <c r="F73" s="18" t="n"/>
      <c r="G73" s="3">
        <f>IF(F73="","",F73-E73)</f>
        <v/>
      </c>
    </row>
    <row r="74">
      <c r="A74" s="2" t="n">
        <v>46552</v>
      </c>
      <c r="B74" s="3" t="inlineStr">
        <is>
          <t>Centre</t>
        </is>
      </c>
      <c r="C74" s="3" t="inlineStr">
        <is>
          <t>T1</t>
        </is>
      </c>
      <c r="D74" s="3" t="inlineStr">
        <is>
          <t>L'IA au service du manager</t>
        </is>
      </c>
      <c r="E74" s="3" t="n">
        <v>7</v>
      </c>
      <c r="F74" s="18" t="n"/>
      <c r="G74" s="3">
        <f>IF(F74="","",F74-E74)</f>
        <v/>
      </c>
    </row>
    <row r="75">
      <c r="A75" s="2" t="n">
        <v>46553</v>
      </c>
      <c r="B75" s="3" t="inlineStr">
        <is>
          <t>Centre</t>
        </is>
      </c>
      <c r="C75" s="3" t="inlineStr">
        <is>
          <t>T1</t>
        </is>
      </c>
      <c r="D75" s="3" t="inlineStr">
        <is>
          <t>L'IA au service du commerce</t>
        </is>
      </c>
      <c r="E75" s="3" t="n">
        <v>7</v>
      </c>
      <c r="F75" s="18" t="n"/>
      <c r="G75" s="3">
        <f>IF(F75="","",F75-E75)</f>
        <v/>
      </c>
    </row>
    <row r="76">
      <c r="A76" s="2" t="n">
        <v>46554</v>
      </c>
      <c r="B76" s="3" t="inlineStr">
        <is>
          <t>Centre</t>
        </is>
      </c>
      <c r="C76" s="3" t="inlineStr">
        <is>
          <t>T1</t>
        </is>
      </c>
      <c r="D76" s="3" t="inlineStr">
        <is>
          <t>RGPD et IA Act au quotidien</t>
        </is>
      </c>
      <c r="E76" s="3" t="n">
        <v>7</v>
      </c>
      <c r="F76" s="18" t="n"/>
      <c r="G76" s="3">
        <f>IF(F76="","",F76-E76)</f>
        <v/>
      </c>
    </row>
    <row r="77">
      <c r="A77" s="2" t="n">
        <v>46555</v>
      </c>
      <c r="B77" s="3" t="inlineStr">
        <is>
          <t>Centre</t>
        </is>
      </c>
      <c r="C77" s="3" t="inlineStr">
        <is>
          <t>T1</t>
        </is>
      </c>
      <c r="D77" s="3" t="inlineStr">
        <is>
          <t>Outils souverains et charte d'usage</t>
        </is>
      </c>
      <c r="E77" s="3" t="n">
        <v>7</v>
      </c>
      <c r="F77" s="18" t="n"/>
      <c r="G77" s="3">
        <f>IF(F77="","",F77-E77)</f>
        <v/>
      </c>
    </row>
    <row r="78">
      <c r="A78" s="2" t="n">
        <v>46556</v>
      </c>
      <c r="B78" s="3" t="inlineStr">
        <is>
          <t>Centre</t>
        </is>
      </c>
      <c r="C78" s="3" t="inlineStr">
        <is>
          <t>M3.1</t>
        </is>
      </c>
      <c r="D78" s="3" t="inlineStr">
        <is>
          <t>Les indicateurs de performance commerciale</t>
        </is>
      </c>
      <c r="E78" s="3" t="n">
        <v>7</v>
      </c>
      <c r="F78" s="18" t="n"/>
      <c r="G78" s="3">
        <f>IF(F78="","",F78-E78)</f>
        <v/>
      </c>
    </row>
    <row r="79">
      <c r="A79" s="2" t="n">
        <v>46559</v>
      </c>
      <c r="B79" s="3" t="inlineStr">
        <is>
          <t>Centre</t>
        </is>
      </c>
      <c r="C79" s="3" t="inlineStr">
        <is>
          <t>M3.1</t>
        </is>
      </c>
      <c r="D79" s="3" t="inlineStr">
        <is>
          <t>Collecter et fiabiliser les données</t>
        </is>
      </c>
      <c r="E79" s="3" t="n">
        <v>7</v>
      </c>
      <c r="F79" s="18" t="n"/>
      <c r="G79" s="3">
        <f>IF(F79="","",F79-E79)</f>
        <v/>
      </c>
    </row>
    <row r="80">
      <c r="A80" s="2" t="n">
        <v>46560</v>
      </c>
      <c r="B80" s="3" t="inlineStr">
        <is>
          <t>Centre</t>
        </is>
      </c>
      <c r="C80" s="3" t="inlineStr">
        <is>
          <t>M3.1</t>
        </is>
      </c>
      <c r="D80" s="3" t="inlineStr">
        <is>
          <t>Construire et renseigner un tableau de bord</t>
        </is>
      </c>
      <c r="E80" s="3" t="n">
        <v>7</v>
      </c>
      <c r="F80" s="18" t="n"/>
      <c r="G80" s="3">
        <f>IF(F80="","",F80-E80)</f>
        <v/>
      </c>
    </row>
    <row r="81">
      <c r="A81" s="2" t="n">
        <v>46561</v>
      </c>
      <c r="B81" s="3" t="inlineStr">
        <is>
          <t>Centre</t>
        </is>
      </c>
      <c r="C81" s="3" t="inlineStr">
        <is>
          <t>M3.1</t>
        </is>
      </c>
      <c r="D81" s="3" t="inlineStr">
        <is>
          <t>Détecter et analyser les écarts</t>
        </is>
      </c>
      <c r="E81" s="3" t="n">
        <v>7</v>
      </c>
      <c r="F81" s="18" t="n"/>
      <c r="G81" s="3">
        <f>IF(F81="","",F81-E81)</f>
        <v/>
      </c>
    </row>
    <row r="82">
      <c r="A82" s="2" t="n">
        <v>46562</v>
      </c>
      <c r="B82" s="3" t="inlineStr">
        <is>
          <t>Centre</t>
        </is>
      </c>
      <c r="C82" s="3" t="inlineStr">
        <is>
          <t>M3.1</t>
        </is>
      </c>
      <c r="D82" s="3" t="inlineStr">
        <is>
          <t>Alerter et rendre compte dans les délais</t>
        </is>
      </c>
      <c r="E82" s="3" t="n">
        <v>7</v>
      </c>
      <c r="F82" s="18" t="n"/>
      <c r="G82" s="3">
        <f>IF(F82="","",F82-E82)</f>
        <v/>
      </c>
    </row>
    <row r="83">
      <c r="A83" s="2" t="n">
        <v>46563</v>
      </c>
      <c r="B83" s="3" t="inlineStr">
        <is>
          <t>Centre</t>
        </is>
      </c>
      <c r="C83" s="3" t="inlineStr">
        <is>
          <t>M3.1</t>
        </is>
      </c>
      <c r="D83" s="3" t="inlineStr">
        <is>
          <t>Rédiger une analyse claire pour la hiérarchie</t>
        </is>
      </c>
      <c r="E83" s="3" t="n">
        <v>7</v>
      </c>
      <c r="F83" s="18" t="n"/>
      <c r="G83" s="3">
        <f>IF(F83="","",F83-E83)</f>
        <v/>
      </c>
    </row>
    <row r="84">
      <c r="A84" s="2" t="n">
        <v>46566</v>
      </c>
      <c r="B84" s="3" t="inlineStr">
        <is>
          <t>Centre</t>
        </is>
      </c>
      <c r="C84" s="3" t="inlineStr">
        <is>
          <t>M3.2</t>
        </is>
      </c>
      <c r="D84" s="3" t="inlineStr">
        <is>
          <t>Compte de résultat du périmètre</t>
        </is>
      </c>
      <c r="E84" s="3" t="n">
        <v>7</v>
      </c>
      <c r="F84" s="18" t="n"/>
      <c r="G84" s="3">
        <f>IF(F84="","",F84-E84)</f>
        <v/>
      </c>
    </row>
    <row r="85">
      <c r="A85" s="2" t="n">
        <v>46567</v>
      </c>
      <c r="B85" s="3" t="inlineStr">
        <is>
          <t>Centre</t>
        </is>
      </c>
      <c r="C85" s="3" t="inlineStr">
        <is>
          <t>M3.2</t>
        </is>
      </c>
      <c r="D85" s="3" t="inlineStr">
        <is>
          <t>Marge, prix et démarque</t>
        </is>
      </c>
      <c r="E85" s="3" t="n">
        <v>7</v>
      </c>
      <c r="F85" s="18" t="n"/>
      <c r="G85" s="3">
        <f>IF(F85="","",F85-E85)</f>
        <v/>
      </c>
    </row>
    <row r="86">
      <c r="A86" s="2" t="n">
        <v>46568</v>
      </c>
      <c r="B86" s="3" t="inlineStr">
        <is>
          <t>Centre</t>
        </is>
      </c>
      <c r="C86" s="3" t="inlineStr">
        <is>
          <t>M3.2</t>
        </is>
      </c>
      <c r="D86" s="3" t="inlineStr">
        <is>
          <t>Frais de personnel et productivité</t>
        </is>
      </c>
      <c r="E86" s="3" t="n">
        <v>7</v>
      </c>
      <c r="F86" s="18" t="n"/>
      <c r="G86" s="3">
        <f>IF(F86="","",F86-E86)</f>
        <v/>
      </c>
    </row>
    <row r="87">
      <c r="A87" s="2" t="n">
        <v>46569</v>
      </c>
      <c r="B87" s="3" t="inlineStr">
        <is>
          <t>Centre</t>
        </is>
      </c>
      <c r="C87" s="3" t="inlineStr">
        <is>
          <t>M3.2</t>
        </is>
      </c>
      <c r="D87" s="3" t="inlineStr">
        <is>
          <t>Rotation des stocks et coûts</t>
        </is>
      </c>
      <c r="E87" s="3" t="n">
        <v>7</v>
      </c>
      <c r="F87" s="18" t="n"/>
      <c r="G87" s="3">
        <f>IF(F87="","",F87-E87)</f>
        <v/>
      </c>
    </row>
    <row r="88">
      <c r="A88" s="2" t="n">
        <v>46570</v>
      </c>
      <c r="B88" s="3" t="inlineStr">
        <is>
          <t>Centre</t>
        </is>
      </c>
      <c r="C88" s="3" t="inlineStr">
        <is>
          <t>M3.2</t>
        </is>
      </c>
      <c r="D88" s="3" t="inlineStr">
        <is>
          <t>Analyser les écarts de rentabilité</t>
        </is>
      </c>
      <c r="E88" s="3" t="n">
        <v>7</v>
      </c>
      <c r="F88" s="18" t="n"/>
      <c r="G88" s="3">
        <f>IF(F88="","",F88-E88)</f>
        <v/>
      </c>
    </row>
    <row r="89">
      <c r="A89" s="2" t="n">
        <v>46573</v>
      </c>
      <c r="B89" s="3" t="inlineStr">
        <is>
          <t>Centre</t>
        </is>
      </c>
      <c r="C89" s="3" t="inlineStr">
        <is>
          <t>M3.2</t>
        </is>
      </c>
      <c r="D89" s="3" t="inlineStr">
        <is>
          <t>Simuler et proposer des pistes d'optimisation</t>
        </is>
      </c>
      <c r="E89" s="3" t="n">
        <v>7</v>
      </c>
      <c r="F89" s="18" t="n"/>
      <c r="G89" s="3">
        <f>IF(F89="","",F89-E89)</f>
        <v/>
      </c>
    </row>
    <row r="90">
      <c r="A90" s="2" t="n">
        <v>46574</v>
      </c>
      <c r="B90" s="3" t="inlineStr">
        <is>
          <t>Centre</t>
        </is>
      </c>
      <c r="C90" s="3" t="inlineStr">
        <is>
          <t>M3.3</t>
        </is>
      </c>
      <c r="D90" s="3" t="inlineStr">
        <is>
          <t>Démarche de résolution de problème</t>
        </is>
      </c>
      <c r="E90" s="3" t="n">
        <v>7</v>
      </c>
      <c r="F90" s="18" t="n"/>
      <c r="G90" s="3">
        <f>IF(F90="","",F90-E90)</f>
        <v/>
      </c>
    </row>
    <row r="91">
      <c r="A91" s="2" t="n">
        <v>46575</v>
      </c>
      <c r="B91" s="3" t="inlineStr">
        <is>
          <t>Centre</t>
        </is>
      </c>
      <c r="C91" s="3" t="inlineStr">
        <is>
          <t>M3.3</t>
        </is>
      </c>
      <c r="D91" s="3" t="inlineStr">
        <is>
          <t>Construire un plan d'actions</t>
        </is>
      </c>
      <c r="E91" s="3" t="n">
        <v>7</v>
      </c>
      <c r="F91" s="18" t="n"/>
      <c r="G91" s="3">
        <f>IF(F91="","",F91-E91)</f>
        <v/>
      </c>
    </row>
    <row r="92">
      <c r="A92" s="2" t="n">
        <v>46576</v>
      </c>
      <c r="B92" s="3" t="inlineStr">
        <is>
          <t>Centre</t>
        </is>
      </c>
      <c r="C92" s="3" t="inlineStr">
        <is>
          <t>M3.3</t>
        </is>
      </c>
      <c r="D92" s="3" t="inlineStr">
        <is>
          <t>Argumenter auprès de la hiérarchie</t>
        </is>
      </c>
      <c r="E92" s="3" t="n">
        <v>7</v>
      </c>
      <c r="F92" s="18" t="n"/>
      <c r="G92" s="3">
        <f>IF(F92="","",F92-E92)</f>
        <v/>
      </c>
    </row>
    <row r="93">
      <c r="A93" s="2" t="n">
        <v>46577</v>
      </c>
      <c r="B93" s="3" t="inlineStr">
        <is>
          <t>Centre</t>
        </is>
      </c>
      <c r="C93" s="3" t="inlineStr">
        <is>
          <t>M3.3</t>
        </is>
      </c>
      <c r="D93" s="3" t="inlineStr">
        <is>
          <t>Mettre en œuvre avec l'équipe</t>
        </is>
      </c>
      <c r="E93" s="3" t="n">
        <v>7</v>
      </c>
      <c r="F93" s="18" t="n"/>
      <c r="G93" s="3">
        <f>IF(F93="","",F93-E93)</f>
        <v/>
      </c>
    </row>
    <row r="94">
      <c r="A94" s="2" t="n">
        <v>46580</v>
      </c>
      <c r="B94" s="3" t="inlineStr">
        <is>
          <t>Centre</t>
        </is>
      </c>
      <c r="C94" s="3" t="inlineStr">
        <is>
          <t>M3.3</t>
        </is>
      </c>
      <c r="D94" s="3" t="inlineStr">
        <is>
          <t>Mesurer les résultats et les écarts persistants</t>
        </is>
      </c>
      <c r="E94" s="3" t="n">
        <v>7</v>
      </c>
      <c r="F94" s="18" t="n"/>
      <c r="G94" s="3">
        <f>IF(F94="","",F94-E94)</f>
        <v/>
      </c>
    </row>
    <row r="95">
      <c r="A95" s="2" t="n">
        <v>46581</v>
      </c>
      <c r="B95" s="3" t="inlineStr">
        <is>
          <t>Centre</t>
        </is>
      </c>
      <c r="C95" s="3" t="inlineStr">
        <is>
          <t>M3.3</t>
        </is>
      </c>
      <c r="D95" s="3" t="inlineStr">
        <is>
          <t>Ajuster et rendre compte</t>
        </is>
      </c>
      <c r="E95" s="3" t="n">
        <v>7</v>
      </c>
      <c r="F95" s="18" t="n"/>
      <c r="G95" s="3">
        <f>IF(F95="","",F95-E95)</f>
        <v/>
      </c>
    </row>
    <row r="96">
      <c r="A96" s="2" t="n">
        <v>46583</v>
      </c>
      <c r="B96" s="3" t="inlineStr">
        <is>
          <t>Entreprise</t>
        </is>
      </c>
      <c r="C96" s="3" t="inlineStr">
        <is>
          <t>PAE</t>
        </is>
      </c>
      <c r="D96" s="3" t="inlineStr">
        <is>
          <t>Période en entreprise n° 2 — jour 1/20</t>
        </is>
      </c>
      <c r="E96" s="3" t="n">
        <v>7</v>
      </c>
      <c r="F96" s="18" t="n"/>
      <c r="G96" s="3">
        <f>IF(F96="","",F96-E96)</f>
        <v/>
      </c>
    </row>
    <row r="97">
      <c r="A97" s="2" t="n">
        <v>46584</v>
      </c>
      <c r="B97" s="3" t="inlineStr">
        <is>
          <t>Entreprise</t>
        </is>
      </c>
      <c r="C97" s="3" t="inlineStr">
        <is>
          <t>PAE</t>
        </is>
      </c>
      <c r="D97" s="3" t="inlineStr">
        <is>
          <t>Période en entreprise n° 2 — jour 2/20</t>
        </is>
      </c>
      <c r="E97" s="3" t="n">
        <v>7</v>
      </c>
      <c r="F97" s="18" t="n"/>
      <c r="G97" s="3">
        <f>IF(F97="","",F97-E97)</f>
        <v/>
      </c>
    </row>
    <row r="98">
      <c r="A98" s="2" t="n">
        <v>46587</v>
      </c>
      <c r="B98" s="3" t="inlineStr">
        <is>
          <t>Entreprise</t>
        </is>
      </c>
      <c r="C98" s="3" t="inlineStr">
        <is>
          <t>PAE</t>
        </is>
      </c>
      <c r="D98" s="3" t="inlineStr">
        <is>
          <t>Période en entreprise n° 2 — jour 3/20</t>
        </is>
      </c>
      <c r="E98" s="3" t="n">
        <v>7</v>
      </c>
      <c r="F98" s="18" t="n"/>
      <c r="G98" s="3">
        <f>IF(F98="","",F98-E98)</f>
        <v/>
      </c>
    </row>
    <row r="99">
      <c r="A99" s="2" t="n">
        <v>46588</v>
      </c>
      <c r="B99" s="3" t="inlineStr">
        <is>
          <t>Entreprise</t>
        </is>
      </c>
      <c r="C99" s="3" t="inlineStr">
        <is>
          <t>PAE</t>
        </is>
      </c>
      <c r="D99" s="3" t="inlineStr">
        <is>
          <t>Période en entreprise n° 2 — jour 4/20</t>
        </is>
      </c>
      <c r="E99" s="3" t="n">
        <v>7</v>
      </c>
      <c r="F99" s="18" t="n"/>
      <c r="G99" s="3">
        <f>IF(F99="","",F99-E99)</f>
        <v/>
      </c>
    </row>
    <row r="100">
      <c r="A100" s="2" t="n">
        <v>46589</v>
      </c>
      <c r="B100" s="3" t="inlineStr">
        <is>
          <t>Entreprise</t>
        </is>
      </c>
      <c r="C100" s="3" t="inlineStr">
        <is>
          <t>PAE</t>
        </is>
      </c>
      <c r="D100" s="3" t="inlineStr">
        <is>
          <t>Période en entreprise n° 2 — jour 5/20</t>
        </is>
      </c>
      <c r="E100" s="3" t="n">
        <v>7</v>
      </c>
      <c r="F100" s="18" t="n"/>
      <c r="G100" s="3">
        <f>IF(F100="","",F100-E100)</f>
        <v/>
      </c>
    </row>
    <row r="101">
      <c r="A101" s="2" t="n">
        <v>46590</v>
      </c>
      <c r="B101" s="3" t="inlineStr">
        <is>
          <t>Entreprise</t>
        </is>
      </c>
      <c r="C101" s="3" t="inlineStr">
        <is>
          <t>PAE</t>
        </is>
      </c>
      <c r="D101" s="3" t="inlineStr">
        <is>
          <t>Période en entreprise n° 2 — jour 6/20</t>
        </is>
      </c>
      <c r="E101" s="3" t="n">
        <v>7</v>
      </c>
      <c r="F101" s="18" t="n"/>
      <c r="G101" s="3">
        <f>IF(F101="","",F101-E101)</f>
        <v/>
      </c>
    </row>
    <row r="102">
      <c r="A102" s="2" t="n">
        <v>46591</v>
      </c>
      <c r="B102" s="3" t="inlineStr">
        <is>
          <t>Entreprise</t>
        </is>
      </c>
      <c r="C102" s="3" t="inlineStr">
        <is>
          <t>PAE</t>
        </is>
      </c>
      <c r="D102" s="3" t="inlineStr">
        <is>
          <t>Période en entreprise n° 2 — jour 7/20</t>
        </is>
      </c>
      <c r="E102" s="3" t="n">
        <v>7</v>
      </c>
      <c r="F102" s="18" t="n"/>
      <c r="G102" s="3">
        <f>IF(F102="","",F102-E102)</f>
        <v/>
      </c>
    </row>
    <row r="103">
      <c r="A103" s="2" t="n">
        <v>46594</v>
      </c>
      <c r="B103" s="3" t="inlineStr">
        <is>
          <t>Entreprise</t>
        </is>
      </c>
      <c r="C103" s="3" t="inlineStr">
        <is>
          <t>PAE</t>
        </is>
      </c>
      <c r="D103" s="3" t="inlineStr">
        <is>
          <t>Période en entreprise n° 2 — jour 8/20</t>
        </is>
      </c>
      <c r="E103" s="3" t="n">
        <v>7</v>
      </c>
      <c r="F103" s="18" t="n"/>
      <c r="G103" s="3">
        <f>IF(F103="","",F103-E103)</f>
        <v/>
      </c>
    </row>
    <row r="104">
      <c r="A104" s="2" t="n">
        <v>46595</v>
      </c>
      <c r="B104" s="3" t="inlineStr">
        <is>
          <t>Entreprise</t>
        </is>
      </c>
      <c r="C104" s="3" t="inlineStr">
        <is>
          <t>PAE</t>
        </is>
      </c>
      <c r="D104" s="3" t="inlineStr">
        <is>
          <t>Période en entreprise n° 2 — jour 9/20</t>
        </is>
      </c>
      <c r="E104" s="3" t="n">
        <v>7</v>
      </c>
      <c r="F104" s="18" t="n"/>
      <c r="G104" s="3">
        <f>IF(F104="","",F104-E104)</f>
        <v/>
      </c>
    </row>
    <row r="105">
      <c r="A105" s="2" t="n">
        <v>46596</v>
      </c>
      <c r="B105" s="3" t="inlineStr">
        <is>
          <t>Entreprise</t>
        </is>
      </c>
      <c r="C105" s="3" t="inlineStr">
        <is>
          <t>PAE</t>
        </is>
      </c>
      <c r="D105" s="3" t="inlineStr">
        <is>
          <t>Période en entreprise n° 2 — jour 10/20</t>
        </is>
      </c>
      <c r="E105" s="3" t="n">
        <v>7</v>
      </c>
      <c r="F105" s="18" t="n"/>
      <c r="G105" s="3">
        <f>IF(F105="","",F105-E105)</f>
        <v/>
      </c>
    </row>
    <row r="106">
      <c r="A106" s="2" t="n">
        <v>46597</v>
      </c>
      <c r="B106" s="3" t="inlineStr">
        <is>
          <t>Entreprise</t>
        </is>
      </c>
      <c r="C106" s="3" t="inlineStr">
        <is>
          <t>PAE</t>
        </is>
      </c>
      <c r="D106" s="3" t="inlineStr">
        <is>
          <t>Période en entreprise n° 2 — jour 11/20</t>
        </is>
      </c>
      <c r="E106" s="3" t="n">
        <v>7</v>
      </c>
      <c r="F106" s="18" t="n"/>
      <c r="G106" s="3">
        <f>IF(F106="","",F106-E106)</f>
        <v/>
      </c>
    </row>
    <row r="107">
      <c r="A107" s="2" t="n">
        <v>46598</v>
      </c>
      <c r="B107" s="3" t="inlineStr">
        <is>
          <t>Entreprise</t>
        </is>
      </c>
      <c r="C107" s="3" t="inlineStr">
        <is>
          <t>PAE</t>
        </is>
      </c>
      <c r="D107" s="3" t="inlineStr">
        <is>
          <t>Période en entreprise n° 2 — jour 12/20</t>
        </is>
      </c>
      <c r="E107" s="3" t="n">
        <v>7</v>
      </c>
      <c r="F107" s="18" t="n"/>
      <c r="G107" s="3">
        <f>IF(F107="","",F107-E107)</f>
        <v/>
      </c>
    </row>
    <row r="108">
      <c r="A108" s="2" t="n">
        <v>46601</v>
      </c>
      <c r="B108" s="3" t="inlineStr">
        <is>
          <t>Entreprise</t>
        </is>
      </c>
      <c r="C108" s="3" t="inlineStr">
        <is>
          <t>PAE</t>
        </is>
      </c>
      <c r="D108" s="3" t="inlineStr">
        <is>
          <t>Période en entreprise n° 2 — jour 13/20</t>
        </is>
      </c>
      <c r="E108" s="3" t="n">
        <v>7</v>
      </c>
      <c r="F108" s="18" t="n"/>
      <c r="G108" s="3">
        <f>IF(F108="","",F108-E108)</f>
        <v/>
      </c>
    </row>
    <row r="109">
      <c r="A109" s="2" t="n">
        <v>46602</v>
      </c>
      <c r="B109" s="3" t="inlineStr">
        <is>
          <t>Entreprise</t>
        </is>
      </c>
      <c r="C109" s="3" t="inlineStr">
        <is>
          <t>PAE</t>
        </is>
      </c>
      <c r="D109" s="3" t="inlineStr">
        <is>
          <t>Période en entreprise n° 2 — jour 14/20</t>
        </is>
      </c>
      <c r="E109" s="3" t="n">
        <v>7</v>
      </c>
      <c r="F109" s="18" t="n"/>
      <c r="G109" s="3">
        <f>IF(F109="","",F109-E109)</f>
        <v/>
      </c>
    </row>
    <row r="110">
      <c r="A110" s="2" t="n">
        <v>46603</v>
      </c>
      <c r="B110" s="3" t="inlineStr">
        <is>
          <t>Entreprise</t>
        </is>
      </c>
      <c r="C110" s="3" t="inlineStr">
        <is>
          <t>PAE</t>
        </is>
      </c>
      <c r="D110" s="3" t="inlineStr">
        <is>
          <t>Période en entreprise n° 2 — jour 15/20</t>
        </is>
      </c>
      <c r="E110" s="3" t="n">
        <v>7</v>
      </c>
      <c r="F110" s="18" t="n"/>
      <c r="G110" s="3">
        <f>IF(F110="","",F110-E110)</f>
        <v/>
      </c>
    </row>
    <row r="111">
      <c r="A111" s="2" t="n">
        <v>46604</v>
      </c>
      <c r="B111" s="3" t="inlineStr">
        <is>
          <t>Entreprise</t>
        </is>
      </c>
      <c r="C111" s="3" t="inlineStr">
        <is>
          <t>PAE</t>
        </is>
      </c>
      <c r="D111" s="3" t="inlineStr">
        <is>
          <t>Période en entreprise n° 2 — jour 16/20</t>
        </is>
      </c>
      <c r="E111" s="3" t="n">
        <v>7</v>
      </c>
      <c r="F111" s="18" t="n"/>
      <c r="G111" s="3">
        <f>IF(F111="","",F111-E111)</f>
        <v/>
      </c>
    </row>
    <row r="112">
      <c r="A112" s="2" t="n">
        <v>46605</v>
      </c>
      <c r="B112" s="3" t="inlineStr">
        <is>
          <t>Entreprise</t>
        </is>
      </c>
      <c r="C112" s="3" t="inlineStr">
        <is>
          <t>PAE</t>
        </is>
      </c>
      <c r="D112" s="3" t="inlineStr">
        <is>
          <t>Période en entreprise n° 2 — jour 17/20</t>
        </is>
      </c>
      <c r="E112" s="3" t="n">
        <v>7</v>
      </c>
      <c r="F112" s="18" t="n"/>
      <c r="G112" s="3">
        <f>IF(F112="","",F112-E112)</f>
        <v/>
      </c>
    </row>
    <row r="113">
      <c r="A113" s="2" t="n">
        <v>46608</v>
      </c>
      <c r="B113" s="3" t="inlineStr">
        <is>
          <t>Entreprise</t>
        </is>
      </c>
      <c r="C113" s="3" t="inlineStr">
        <is>
          <t>PAE</t>
        </is>
      </c>
      <c r="D113" s="3" t="inlineStr">
        <is>
          <t>Période en entreprise n° 2 — jour 18/20</t>
        </is>
      </c>
      <c r="E113" s="3" t="n">
        <v>7</v>
      </c>
      <c r="F113" s="18" t="n"/>
      <c r="G113" s="3">
        <f>IF(F113="","",F113-E113)</f>
        <v/>
      </c>
    </row>
    <row r="114">
      <c r="A114" s="2" t="n">
        <v>46609</v>
      </c>
      <c r="B114" s="3" t="inlineStr">
        <is>
          <t>Entreprise</t>
        </is>
      </c>
      <c r="C114" s="3" t="inlineStr">
        <is>
          <t>PAE</t>
        </is>
      </c>
      <c r="D114" s="3" t="inlineStr">
        <is>
          <t>Période en entreprise n° 2 — jour 19/20</t>
        </is>
      </c>
      <c r="E114" s="3" t="n">
        <v>7</v>
      </c>
      <c r="F114" s="18" t="n"/>
      <c r="G114" s="3">
        <f>IF(F114="","",F114-E114)</f>
        <v/>
      </c>
    </row>
    <row r="115">
      <c r="A115" s="2" t="n">
        <v>46610</v>
      </c>
      <c r="B115" s="3" t="inlineStr">
        <is>
          <t>Entreprise</t>
        </is>
      </c>
      <c r="C115" s="3" t="inlineStr">
        <is>
          <t>PAE</t>
        </is>
      </c>
      <c r="D115" s="3" t="inlineStr">
        <is>
          <t>Période en entreprise n° 2 — jour 20/20</t>
        </is>
      </c>
      <c r="E115" s="3" t="n">
        <v>7</v>
      </c>
      <c r="F115" s="18" t="n"/>
      <c r="G115" s="3">
        <f>IF(F115="","",F115-E115)</f>
        <v/>
      </c>
    </row>
    <row r="116">
      <c r="A116" s="2" t="n">
        <v>46611</v>
      </c>
      <c r="B116" s="3" t="inlineStr">
        <is>
          <t>Centre</t>
        </is>
      </c>
      <c r="C116" s="3" t="inlineStr">
        <is>
          <t>T3</t>
        </is>
      </c>
      <c r="D116" s="3" t="inlineStr">
        <is>
          <t>Document et diaporama « Performance et rentabilité »</t>
        </is>
      </c>
      <c r="E116" s="3" t="n">
        <v>7</v>
      </c>
      <c r="F116" s="18" t="n"/>
      <c r="G116" s="3">
        <f>IF(F116="","",F116-E116)</f>
        <v/>
      </c>
    </row>
    <row r="117">
      <c r="A117" s="2" t="n">
        <v>46612</v>
      </c>
      <c r="B117" s="3" t="inlineStr">
        <is>
          <t>Centre</t>
        </is>
      </c>
      <c r="C117" s="3" t="inlineStr">
        <is>
          <t>T3</t>
        </is>
      </c>
      <c r="D117" s="3" t="inlineStr">
        <is>
          <t>Document et diaporama « Manager l'équipe »</t>
        </is>
      </c>
      <c r="E117" s="3" t="n">
        <v>7</v>
      </c>
      <c r="F117" s="18" t="n"/>
      <c r="G117" s="3">
        <f>IF(F117="","",F117-E117)</f>
        <v/>
      </c>
    </row>
    <row r="118">
      <c r="A118" s="2" t="n">
        <v>46615</v>
      </c>
      <c r="B118" s="3" t="inlineStr">
        <is>
          <t>Centre</t>
        </is>
      </c>
      <c r="C118" s="3" t="inlineStr">
        <is>
          <t>T3</t>
        </is>
      </c>
      <c r="D118" s="3" t="inlineStr">
        <is>
          <t>Dossier professionnel</t>
        </is>
      </c>
      <c r="E118" s="3" t="n">
        <v>7</v>
      </c>
      <c r="F118" s="18" t="n"/>
      <c r="G118" s="3">
        <f>IF(F118="","",F118-E118)</f>
        <v/>
      </c>
    </row>
    <row r="119">
      <c r="A119" s="2" t="n">
        <v>46616</v>
      </c>
      <c r="B119" s="3" t="inlineStr">
        <is>
          <t>Centre</t>
        </is>
      </c>
      <c r="C119" s="3" t="inlineStr">
        <is>
          <t>T5</t>
        </is>
      </c>
      <c r="D119" s="3" t="inlineStr">
        <is>
          <t>Mise en situation professionnelle blanche</t>
        </is>
      </c>
      <c r="E119" s="3" t="n">
        <v>7</v>
      </c>
      <c r="F119" s="18" t="n"/>
      <c r="G119" s="3">
        <f>IF(F119="","",F119-E119)</f>
        <v/>
      </c>
    </row>
    <row r="120">
      <c r="A120" s="2" t="n">
        <v>46617</v>
      </c>
      <c r="B120" s="3" t="inlineStr">
        <is>
          <t>Centre</t>
        </is>
      </c>
      <c r="C120" s="3" t="inlineStr">
        <is>
          <t>T5</t>
        </is>
      </c>
      <c r="D120" s="3" t="inlineStr">
        <is>
          <t>Entretien technique et présentations blanches</t>
        </is>
      </c>
      <c r="E120" s="3" t="n">
        <v>7</v>
      </c>
      <c r="F120" s="18" t="n"/>
      <c r="G120" s="3">
        <f>IF(F120="","",F120-E120)</f>
        <v/>
      </c>
    </row>
    <row r="121">
      <c r="A121" s="2" t="n">
        <v>46618</v>
      </c>
      <c r="B121" s="3" t="inlineStr">
        <is>
          <t>Centre</t>
        </is>
      </c>
      <c r="C121" s="3" t="inlineStr">
        <is>
          <t>T5</t>
        </is>
      </c>
      <c r="D121" s="3" t="inlineStr">
        <is>
          <t>Entretien final et préparation mentale</t>
        </is>
      </c>
      <c r="E121" s="3" t="n">
        <v>7</v>
      </c>
      <c r="F121" s="18" t="n"/>
      <c r="G121" s="3">
        <f>IF(F121="","",F121-E121)</f>
        <v/>
      </c>
    </row>
    <row r="122">
      <c r="D122" s="13" t="inlineStr">
        <is>
          <t>TOTAL</t>
        </is>
      </c>
      <c r="E122" s="13">
        <f>SUM(E2:E121)</f>
        <v/>
      </c>
      <c r="F122" s="13">
        <f>SUM(F2:F121)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6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Lieu</t>
        </is>
      </c>
      <c r="C1" s="1" t="inlineStr">
        <is>
          <t>Module</t>
        </is>
      </c>
      <c r="D1" s="1" t="inlineStr">
        <is>
          <t>Séquence</t>
        </is>
      </c>
      <c r="E1" s="1" t="inlineStr">
        <is>
          <t>Heures prévues</t>
        </is>
      </c>
      <c r="F1" s="1" t="inlineStr">
        <is>
          <t>Heures réalisées</t>
        </is>
      </c>
      <c r="G1" s="1" t="inlineStr">
        <is>
          <t>Écart</t>
        </is>
      </c>
    </row>
    <row r="2">
      <c r="A2" s="2" t="n">
        <v>46636</v>
      </c>
      <c r="B2" s="3" t="inlineStr">
        <is>
          <t>Centre</t>
        </is>
      </c>
      <c r="C2" s="3" t="inlineStr">
        <is>
          <t>M0</t>
        </is>
      </c>
      <c r="D2" s="3" t="inlineStr">
        <is>
          <t>Bienvenue et découverte du parcours</t>
        </is>
      </c>
      <c r="E2" s="3" t="n">
        <v>7</v>
      </c>
      <c r="F2" s="18" t="n"/>
      <c r="G2" s="3">
        <f>IF(F2="","",F2-E2)</f>
        <v/>
      </c>
    </row>
    <row r="3">
      <c r="A3" s="2" t="n">
        <v>46637</v>
      </c>
      <c r="B3" s="3" t="inlineStr">
        <is>
          <t>Centre</t>
        </is>
      </c>
      <c r="C3" s="3" t="inlineStr">
        <is>
          <t>M0</t>
        </is>
      </c>
      <c r="D3" s="3" t="inlineStr">
        <is>
          <t>Positionnement et projet fil rouge</t>
        </is>
      </c>
      <c r="E3" s="3" t="n">
        <v>7</v>
      </c>
      <c r="F3" s="18" t="n"/>
      <c r="G3" s="3">
        <f>IF(F3="","",F3-E3)</f>
        <v/>
      </c>
    </row>
    <row r="4">
      <c r="A4" s="2" t="n">
        <v>46638</v>
      </c>
      <c r="B4" s="3" t="inlineStr">
        <is>
          <t>Centre</t>
        </is>
      </c>
      <c r="C4" s="3" t="inlineStr">
        <is>
          <t>M1.1</t>
        </is>
      </c>
      <c r="D4" s="3" t="inlineStr">
        <is>
          <t>Formes juridiques et gouvernance</t>
        </is>
      </c>
      <c r="E4" s="3" t="n">
        <v>7</v>
      </c>
      <c r="F4" s="18" t="n"/>
      <c r="G4" s="3">
        <f>IF(F4="","",F4-E4)</f>
        <v/>
      </c>
    </row>
    <row r="5">
      <c r="A5" s="2" t="n">
        <v>46639</v>
      </c>
      <c r="B5" s="3" t="inlineStr">
        <is>
          <t>Centre</t>
        </is>
      </c>
      <c r="C5" s="3" t="inlineStr">
        <is>
          <t>M1.1</t>
        </is>
      </c>
      <c r="D5" s="3" t="inlineStr">
        <is>
          <t>Responsabilités du dirigeant</t>
        </is>
      </c>
      <c r="E5" s="3" t="n">
        <v>7</v>
      </c>
      <c r="F5" s="18" t="n"/>
      <c r="G5" s="3">
        <f>IF(F5="","",F5-E5)</f>
        <v/>
      </c>
    </row>
    <row r="6">
      <c r="A6" s="2" t="n">
        <v>46640</v>
      </c>
      <c r="B6" s="3" t="inlineStr">
        <is>
          <t>Centre</t>
        </is>
      </c>
      <c r="C6" s="3" t="inlineStr">
        <is>
          <t>M1.1</t>
        </is>
      </c>
      <c r="D6" s="3" t="inlineStr">
        <is>
          <t>Analyse de l'environnement externe</t>
        </is>
      </c>
      <c r="E6" s="3" t="n">
        <v>7</v>
      </c>
      <c r="F6" s="18" t="n"/>
      <c r="G6" s="3">
        <f>IF(F6="","",F6-E6)</f>
        <v/>
      </c>
    </row>
    <row r="7">
      <c r="A7" s="2" t="n">
        <v>46643</v>
      </c>
      <c r="B7" s="3" t="inlineStr">
        <is>
          <t>Centre</t>
        </is>
      </c>
      <c r="C7" s="3" t="inlineStr">
        <is>
          <t>M1.1</t>
        </is>
      </c>
      <c r="D7" s="3" t="inlineStr">
        <is>
          <t>Analyse interne et chaîne de valeur</t>
        </is>
      </c>
      <c r="E7" s="3" t="n">
        <v>7</v>
      </c>
      <c r="F7" s="18" t="n"/>
      <c r="G7" s="3">
        <f>IF(F7="","",F7-E7)</f>
        <v/>
      </c>
    </row>
    <row r="8">
      <c r="A8" s="2" t="n">
        <v>46644</v>
      </c>
      <c r="B8" s="3" t="inlineStr">
        <is>
          <t>Centre</t>
        </is>
      </c>
      <c r="C8" s="3" t="inlineStr">
        <is>
          <t>M1.1</t>
        </is>
      </c>
      <c r="D8" s="3" t="inlineStr">
        <is>
          <t>Diagnostic stratégique</t>
        </is>
      </c>
      <c r="E8" s="3" t="n">
        <v>7</v>
      </c>
      <c r="F8" s="18" t="n"/>
      <c r="G8" s="3">
        <f>IF(F8="","",F8-E8)</f>
        <v/>
      </c>
    </row>
    <row r="9">
      <c r="A9" s="2" t="n">
        <v>46645</v>
      </c>
      <c r="B9" s="3" t="inlineStr">
        <is>
          <t>Centre</t>
        </is>
      </c>
      <c r="C9" s="3" t="inlineStr">
        <is>
          <t>M1.1</t>
        </is>
      </c>
      <c r="D9" s="3" t="inlineStr">
        <is>
          <t>Veille et conformité</t>
        </is>
      </c>
      <c r="E9" s="3" t="n">
        <v>7</v>
      </c>
      <c r="F9" s="18" t="n"/>
      <c r="G9" s="3">
        <f>IF(F9="","",F9-E9)</f>
        <v/>
      </c>
    </row>
    <row r="10">
      <c r="A10" s="2" t="n">
        <v>46646</v>
      </c>
      <c r="B10" s="3" t="inlineStr">
        <is>
          <t>Centre</t>
        </is>
      </c>
      <c r="C10" s="3" t="inlineStr">
        <is>
          <t>M1.1</t>
        </is>
      </c>
      <c r="D10" s="3" t="inlineStr">
        <is>
          <t>Traduire la stratégie en objectifs</t>
        </is>
      </c>
      <c r="E10" s="3" t="n">
        <v>7</v>
      </c>
      <c r="F10" s="18" t="n"/>
      <c r="G10" s="3">
        <f>IF(F10="","",F10-E10)</f>
        <v/>
      </c>
    </row>
    <row r="11">
      <c r="A11" s="2" t="n">
        <v>46647</v>
      </c>
      <c r="B11" s="3" t="inlineStr">
        <is>
          <t>Centre</t>
        </is>
      </c>
      <c r="C11" s="3" t="inlineStr">
        <is>
          <t>M1.2</t>
        </is>
      </c>
      <c r="D11" s="3" t="inlineStr">
        <is>
          <t>L'écosystème économique réunionnais</t>
        </is>
      </c>
      <c r="E11" s="3" t="n">
        <v>7</v>
      </c>
      <c r="F11" s="18" t="n"/>
      <c r="G11" s="3">
        <f>IF(F11="","",F11-E11)</f>
        <v/>
      </c>
    </row>
    <row r="12">
      <c r="A12" s="2" t="n">
        <v>46650</v>
      </c>
      <c r="B12" s="3" t="inlineStr">
        <is>
          <t>Centre</t>
        </is>
      </c>
      <c r="C12" s="3" t="inlineStr">
        <is>
          <t>M1.2</t>
        </is>
      </c>
      <c r="D12" s="3" t="inlineStr">
        <is>
          <t>Cartographier les parties prenantes</t>
        </is>
      </c>
      <c r="E12" s="3" t="n">
        <v>7</v>
      </c>
      <c r="F12" s="18" t="n"/>
      <c r="G12" s="3">
        <f>IF(F12="","",F12-E12)</f>
        <v/>
      </c>
    </row>
    <row r="13">
      <c r="A13" s="2" t="n">
        <v>46651</v>
      </c>
      <c r="B13" s="3" t="inlineStr">
        <is>
          <t>Centre</t>
        </is>
      </c>
      <c r="C13" s="3" t="inlineStr">
        <is>
          <t>M1.2</t>
        </is>
      </c>
      <c r="D13" s="3" t="inlineStr">
        <is>
          <t>RSE et développement durable</t>
        </is>
      </c>
      <c r="E13" s="3" t="n">
        <v>7</v>
      </c>
      <c r="F13" s="18" t="n"/>
      <c r="G13" s="3">
        <f>IF(F13="","",F13-E13)</f>
        <v/>
      </c>
    </row>
    <row r="14">
      <c r="A14" s="2" t="n">
        <v>46652</v>
      </c>
      <c r="B14" s="3" t="inlineStr">
        <is>
          <t>Centre</t>
        </is>
      </c>
      <c r="C14" s="3" t="inlineStr">
        <is>
          <t>M1.2</t>
        </is>
      </c>
      <c r="D14" s="3" t="inlineStr">
        <is>
          <t>Partenariats et marchés publics</t>
        </is>
      </c>
      <c r="E14" s="3" t="n">
        <v>7</v>
      </c>
      <c r="F14" s="18" t="n"/>
      <c r="G14" s="3">
        <f>IF(F14="","",F14-E14)</f>
        <v/>
      </c>
    </row>
    <row r="15">
      <c r="A15" s="2" t="n">
        <v>46653</v>
      </c>
      <c r="B15" s="3" t="inlineStr">
        <is>
          <t>Centre</t>
        </is>
      </c>
      <c r="C15" s="3" t="inlineStr">
        <is>
          <t>M1.2</t>
        </is>
      </c>
      <c r="D15" s="3" t="inlineStr">
        <is>
          <t>Représenter la structure et négocier</t>
        </is>
      </c>
      <c r="E15" s="3" t="n">
        <v>7</v>
      </c>
      <c r="F15" s="18" t="n"/>
      <c r="G15" s="3">
        <f>IF(F15="","",F15-E15)</f>
        <v/>
      </c>
    </row>
    <row r="16">
      <c r="A16" s="2" t="n">
        <v>46654</v>
      </c>
      <c r="B16" s="3" t="inlineStr">
        <is>
          <t>Centre</t>
        </is>
      </c>
      <c r="C16" s="3" t="inlineStr">
        <is>
          <t>M1.3</t>
        </is>
      </c>
      <c r="D16" s="3" t="inlineStr">
        <is>
          <t>Droit du travail essentiel</t>
        </is>
      </c>
      <c r="E16" s="3" t="n">
        <v>7</v>
      </c>
      <c r="F16" s="18" t="n"/>
      <c r="G16" s="3">
        <f>IF(F16="","",F16-E16)</f>
        <v/>
      </c>
    </row>
    <row r="17">
      <c r="A17" s="2" t="n">
        <v>46657</v>
      </c>
      <c r="B17" s="3" t="inlineStr">
        <is>
          <t>Centre</t>
        </is>
      </c>
      <c r="C17" s="3" t="inlineStr">
        <is>
          <t>M1.3</t>
        </is>
      </c>
      <c r="D17" s="3" t="inlineStr">
        <is>
          <t>Dialogue social et représentation du personnel</t>
        </is>
      </c>
      <c r="E17" s="3" t="n">
        <v>7</v>
      </c>
      <c r="F17" s="18" t="n"/>
      <c r="G17" s="3">
        <f>IF(F17="","",F17-E17)</f>
        <v/>
      </c>
    </row>
    <row r="18">
      <c r="A18" s="2" t="n">
        <v>46658</v>
      </c>
      <c r="B18" s="3" t="inlineStr">
        <is>
          <t>Centre</t>
        </is>
      </c>
      <c r="C18" s="3" t="inlineStr">
        <is>
          <t>M1.3</t>
        </is>
      </c>
      <c r="D18" s="3" t="inlineStr">
        <is>
          <t>Santé, sécurité et DUERP</t>
        </is>
      </c>
      <c r="E18" s="3" t="n">
        <v>7</v>
      </c>
      <c r="F18" s="18" t="n"/>
      <c r="G18" s="3">
        <f>IF(F18="","",F18-E18)</f>
        <v/>
      </c>
    </row>
    <row r="19">
      <c r="A19" s="2" t="n">
        <v>46659</v>
      </c>
      <c r="B19" s="3" t="inlineStr">
        <is>
          <t>Centre</t>
        </is>
      </c>
      <c r="C19" s="3" t="inlineStr">
        <is>
          <t>M1.3</t>
        </is>
      </c>
      <c r="D19" s="3" t="inlineStr">
        <is>
          <t>Qualité de vie et des conditions de travail</t>
        </is>
      </c>
      <c r="E19" s="3" t="n">
        <v>7</v>
      </c>
      <c r="F19" s="18" t="n"/>
      <c r="G19" s="3">
        <f>IF(F19="","",F19-E19)</f>
        <v/>
      </c>
    </row>
    <row r="20">
      <c r="A20" s="2" t="n">
        <v>46660</v>
      </c>
      <c r="B20" s="3" t="inlineStr">
        <is>
          <t>Centre</t>
        </is>
      </c>
      <c r="C20" s="3" t="inlineStr">
        <is>
          <t>M1.3</t>
        </is>
      </c>
      <c r="D20" s="3" t="inlineStr">
        <is>
          <t>Recruter et intégrer sans discriminer</t>
        </is>
      </c>
      <c r="E20" s="3" t="n">
        <v>7</v>
      </c>
      <c r="F20" s="18" t="n"/>
      <c r="G20" s="3">
        <f>IF(F20="","",F20-E20)</f>
        <v/>
      </c>
    </row>
    <row r="21">
      <c r="A21" s="2" t="n">
        <v>46661</v>
      </c>
      <c r="B21" s="3" t="inlineStr">
        <is>
          <t>Centre</t>
        </is>
      </c>
      <c r="C21" s="3" t="inlineStr">
        <is>
          <t>M1.3</t>
        </is>
      </c>
      <c r="D21" s="3" t="inlineStr">
        <is>
          <t>Handicap et obligation d'emploi</t>
        </is>
      </c>
      <c r="E21" s="3" t="n">
        <v>7</v>
      </c>
      <c r="F21" s="18" t="n"/>
      <c r="G21" s="3">
        <f>IF(F21="","",F21-E21)</f>
        <v/>
      </c>
    </row>
    <row r="22">
      <c r="A22" s="2" t="n">
        <v>46664</v>
      </c>
      <c r="B22" s="3" t="inlineStr">
        <is>
          <t>Centre</t>
        </is>
      </c>
      <c r="C22" s="3" t="inlineStr">
        <is>
          <t>M1.3</t>
        </is>
      </c>
      <c r="D22" s="3" t="inlineStr">
        <is>
          <t>Entretiens et développement des compétences</t>
        </is>
      </c>
      <c r="E22" s="3" t="n">
        <v>7</v>
      </c>
      <c r="F22" s="18" t="n"/>
      <c r="G22" s="3">
        <f>IF(F22="","",F22-E22)</f>
        <v/>
      </c>
    </row>
    <row r="23">
      <c r="A23" s="2" t="n">
        <v>46665</v>
      </c>
      <c r="B23" s="3" t="inlineStr">
        <is>
          <t>Centre</t>
        </is>
      </c>
      <c r="C23" s="3" t="inlineStr">
        <is>
          <t>M1.3</t>
        </is>
      </c>
      <c r="D23" s="3" t="inlineStr">
        <is>
          <t>Déléguer, animer et motiver</t>
        </is>
      </c>
      <c r="E23" s="3" t="n">
        <v>7</v>
      </c>
      <c r="F23" s="18" t="n"/>
      <c r="G23" s="3">
        <f>IF(F23="","",F23-E23)</f>
        <v/>
      </c>
    </row>
    <row r="24">
      <c r="A24" s="2" t="n">
        <v>46666</v>
      </c>
      <c r="B24" s="3" t="inlineStr">
        <is>
          <t>Centre</t>
        </is>
      </c>
      <c r="C24" s="3" t="inlineStr">
        <is>
          <t>M1.3</t>
        </is>
      </c>
      <c r="D24" s="3" t="inlineStr">
        <is>
          <t>Prévenir et gérer les conflits</t>
        </is>
      </c>
      <c r="E24" s="3" t="n">
        <v>7</v>
      </c>
      <c r="F24" s="18" t="n"/>
      <c r="G24" s="3">
        <f>IF(F24="","",F24-E24)</f>
        <v/>
      </c>
    </row>
    <row r="25">
      <c r="A25" s="2" t="n">
        <v>46667</v>
      </c>
      <c r="B25" s="3" t="inlineStr">
        <is>
          <t>Centre</t>
        </is>
      </c>
      <c r="C25" s="3" t="inlineStr">
        <is>
          <t>M1.3</t>
        </is>
      </c>
      <c r="D25" s="3" t="inlineStr">
        <is>
          <t>Priorités, aléas et continuité d'activité</t>
        </is>
      </c>
      <c r="E25" s="3" t="n">
        <v>7</v>
      </c>
      <c r="F25" s="18" t="n"/>
      <c r="G25" s="3">
        <f>IF(F25="","",F25-E25)</f>
        <v/>
      </c>
    </row>
    <row r="26">
      <c r="A26" s="2" t="n">
        <v>46668</v>
      </c>
      <c r="B26" s="3" t="inlineStr">
        <is>
          <t>Centre</t>
        </is>
      </c>
      <c r="C26" s="3" t="inlineStr">
        <is>
          <t>T4</t>
        </is>
      </c>
      <c r="D26" s="3" t="inlineStr">
        <is>
          <t>Trouver sa structure d'accueil</t>
        </is>
      </c>
      <c r="E26" s="3" t="n">
        <v>7</v>
      </c>
      <c r="F26" s="18" t="n"/>
      <c r="G26" s="3">
        <f>IF(F26="","",F26-E26)</f>
        <v/>
      </c>
    </row>
    <row r="27">
      <c r="A27" s="2" t="n">
        <v>46671</v>
      </c>
      <c r="B27" s="3" t="inlineStr">
        <is>
          <t>Centre</t>
        </is>
      </c>
      <c r="C27" s="3" t="inlineStr">
        <is>
          <t>T4</t>
        </is>
      </c>
      <c r="D27" s="3" t="inlineStr">
        <is>
          <t>Objectifs de la période et dossier de projet</t>
        </is>
      </c>
      <c r="E27" s="3" t="n">
        <v>7</v>
      </c>
      <c r="F27" s="18" t="n"/>
      <c r="G27" s="3">
        <f>IF(F27="","",F27-E27)</f>
        <v/>
      </c>
    </row>
    <row r="28">
      <c r="A28" s="2" t="n">
        <v>46672</v>
      </c>
      <c r="B28" s="3" t="inlineStr">
        <is>
          <t>Centre</t>
        </is>
      </c>
      <c r="C28" s="3" t="inlineStr">
        <is>
          <t>M2.1</t>
        </is>
      </c>
      <c r="D28" s="3" t="inlineStr">
        <is>
          <t>Comprendre son marché</t>
        </is>
      </c>
      <c r="E28" s="3" t="n">
        <v>7</v>
      </c>
      <c r="F28" s="18" t="n"/>
      <c r="G28" s="3">
        <f>IF(F28="","",F28-E28)</f>
        <v/>
      </c>
    </row>
    <row r="29">
      <c r="A29" s="2" t="n">
        <v>46673</v>
      </c>
      <c r="B29" s="3" t="inlineStr">
        <is>
          <t>Centre</t>
        </is>
      </c>
      <c r="C29" s="3" t="inlineStr">
        <is>
          <t>M2.1</t>
        </is>
      </c>
      <c r="D29" s="3" t="inlineStr">
        <is>
          <t>Sources d'information</t>
        </is>
      </c>
      <c r="E29" s="3" t="n">
        <v>7</v>
      </c>
      <c r="F29" s="18" t="n"/>
      <c r="G29" s="3">
        <f>IF(F29="","",F29-E29)</f>
        <v/>
      </c>
    </row>
    <row r="30">
      <c r="A30" s="2" t="n">
        <v>46674</v>
      </c>
      <c r="B30" s="3" t="inlineStr">
        <is>
          <t>Centre</t>
        </is>
      </c>
      <c r="C30" s="3" t="inlineStr">
        <is>
          <t>M2.1</t>
        </is>
      </c>
      <c r="D30" s="3" t="inlineStr">
        <is>
          <t>Enquête de terrain</t>
        </is>
      </c>
      <c r="E30" s="3" t="n">
        <v>7</v>
      </c>
      <c r="F30" s="18" t="n"/>
      <c r="G30" s="3">
        <f>IF(F30="","",F30-E30)</f>
        <v/>
      </c>
    </row>
    <row r="31">
      <c r="A31" s="2" t="n">
        <v>46675</v>
      </c>
      <c r="B31" s="3" t="inlineStr">
        <is>
          <t>Centre</t>
        </is>
      </c>
      <c r="C31" s="3" t="inlineStr">
        <is>
          <t>M2.1</t>
        </is>
      </c>
      <c r="D31" s="3" t="inlineStr">
        <is>
          <t>Segmenter et cibler</t>
        </is>
      </c>
      <c r="E31" s="3" t="n">
        <v>7</v>
      </c>
      <c r="F31" s="18" t="n"/>
      <c r="G31" s="3">
        <f>IF(F31="","",F31-E31)</f>
        <v/>
      </c>
    </row>
    <row r="32">
      <c r="A32" s="2" t="n">
        <v>46678</v>
      </c>
      <c r="B32" s="3" t="inlineStr">
        <is>
          <t>Centre</t>
        </is>
      </c>
      <c r="C32" s="3" t="inlineStr">
        <is>
          <t>M2.1</t>
        </is>
      </c>
      <c r="D32" s="3" t="inlineStr">
        <is>
          <t>Positionner l'offre</t>
        </is>
      </c>
      <c r="E32" s="3" t="n">
        <v>7</v>
      </c>
      <c r="F32" s="18" t="n"/>
      <c r="G32" s="3">
        <f>IF(F32="","",F32-E32)</f>
        <v/>
      </c>
    </row>
    <row r="33">
      <c r="A33" s="2" t="n">
        <v>46679</v>
      </c>
      <c r="B33" s="3" t="inlineStr">
        <is>
          <t>Centre</t>
        </is>
      </c>
      <c r="C33" s="3" t="inlineStr">
        <is>
          <t>M2.1</t>
        </is>
      </c>
      <c r="D33" s="3" t="inlineStr">
        <is>
          <t>Construire l'offre</t>
        </is>
      </c>
      <c r="E33" s="3" t="n">
        <v>7</v>
      </c>
      <c r="F33" s="18" t="n"/>
      <c r="G33" s="3">
        <f>IF(F33="","",F33-E33)</f>
        <v/>
      </c>
    </row>
    <row r="34">
      <c r="A34" s="2" t="n">
        <v>46680</v>
      </c>
      <c r="B34" s="3" t="inlineStr">
        <is>
          <t>Centre</t>
        </is>
      </c>
      <c r="C34" s="3" t="inlineStr">
        <is>
          <t>M2.1</t>
        </is>
      </c>
      <c r="D34" s="3" t="inlineStr">
        <is>
          <t>Fixer le prix</t>
        </is>
      </c>
      <c r="E34" s="3" t="n">
        <v>7</v>
      </c>
      <c r="F34" s="18" t="n"/>
      <c r="G34" s="3">
        <f>IF(F34="","",F34-E34)</f>
        <v/>
      </c>
    </row>
    <row r="35">
      <c r="A35" s="2" t="n">
        <v>46681</v>
      </c>
      <c r="B35" s="3" t="inlineStr">
        <is>
          <t>Centre</t>
        </is>
      </c>
      <c r="C35" s="3" t="inlineStr">
        <is>
          <t>M2.1</t>
        </is>
      </c>
      <c r="D35" s="3" t="inlineStr">
        <is>
          <t>Innover et faire évoluer l'offre</t>
        </is>
      </c>
      <c r="E35" s="3" t="n">
        <v>7</v>
      </c>
      <c r="F35" s="18" t="n"/>
      <c r="G35" s="3">
        <f>IF(F35="","",F35-E35)</f>
        <v/>
      </c>
    </row>
    <row r="36">
      <c r="A36" s="2" t="n">
        <v>46682</v>
      </c>
      <c r="B36" s="3" t="inlineStr">
        <is>
          <t>Centre</t>
        </is>
      </c>
      <c r="C36" s="3" t="inlineStr">
        <is>
          <t>M2.1</t>
        </is>
      </c>
      <c r="D36" s="3" t="inlineStr">
        <is>
          <t>Présenter l'offre adaptée</t>
        </is>
      </c>
      <c r="E36" s="3" t="n">
        <v>7</v>
      </c>
      <c r="F36" s="18" t="n"/>
      <c r="G36" s="3">
        <f>IF(F36="","",F36-E36)</f>
        <v/>
      </c>
    </row>
    <row r="37">
      <c r="A37" s="2" t="n">
        <v>46685</v>
      </c>
      <c r="B37" s="3" t="inlineStr">
        <is>
          <t>Centre</t>
        </is>
      </c>
      <c r="C37" s="3" t="inlineStr">
        <is>
          <t>M2.2</t>
        </is>
      </c>
      <c r="D37" s="3" t="inlineStr">
        <is>
          <t>Plan d'action commercial</t>
        </is>
      </c>
      <c r="E37" s="3" t="n">
        <v>7</v>
      </c>
      <c r="F37" s="18" t="n"/>
      <c r="G37" s="3">
        <f>IF(F37="","",F37-E37)</f>
        <v/>
      </c>
    </row>
    <row r="38">
      <c r="A38" s="2" t="n">
        <v>46686</v>
      </c>
      <c r="B38" s="3" t="inlineStr">
        <is>
          <t>Centre</t>
        </is>
      </c>
      <c r="C38" s="3" t="inlineStr">
        <is>
          <t>M2.2</t>
        </is>
      </c>
      <c r="D38" s="3" t="inlineStr">
        <is>
          <t>Canaux de distribution</t>
        </is>
      </c>
      <c r="E38" s="3" t="n">
        <v>7</v>
      </c>
      <c r="F38" s="18" t="n"/>
      <c r="G38" s="3">
        <f>IF(F38="","",F38-E38)</f>
        <v/>
      </c>
    </row>
    <row r="39">
      <c r="A39" s="2" t="n">
        <v>46687</v>
      </c>
      <c r="B39" s="3" t="inlineStr">
        <is>
          <t>Centre</t>
        </is>
      </c>
      <c r="C39" s="3" t="inlineStr">
        <is>
          <t>M2.2</t>
        </is>
      </c>
      <c r="D39" s="3" t="inlineStr">
        <is>
          <t>Marketing digital</t>
        </is>
      </c>
      <c r="E39" s="3" t="n">
        <v>7</v>
      </c>
      <c r="F39" s="18" t="n"/>
      <c r="G39" s="3">
        <f>IF(F39="","",F39-E39)</f>
        <v/>
      </c>
    </row>
    <row r="40">
      <c r="A40" s="2" t="n">
        <v>46688</v>
      </c>
      <c r="B40" s="3" t="inlineStr">
        <is>
          <t>Centre</t>
        </is>
      </c>
      <c r="C40" s="3" t="inlineStr">
        <is>
          <t>M2.2</t>
        </is>
      </c>
      <c r="D40" s="3" t="inlineStr">
        <is>
          <t>Site et réseaux sociaux conformes</t>
        </is>
      </c>
      <c r="E40" s="3" t="n">
        <v>7</v>
      </c>
      <c r="F40" s="18" t="n"/>
      <c r="G40" s="3">
        <f>IF(F40="","",F40-E40)</f>
        <v/>
      </c>
    </row>
    <row r="41">
      <c r="A41" s="2" t="n">
        <v>46689</v>
      </c>
      <c r="B41" s="3" t="inlineStr">
        <is>
          <t>Centre</t>
        </is>
      </c>
      <c r="C41" s="3" t="inlineStr">
        <is>
          <t>M2.2</t>
        </is>
      </c>
      <c r="D41" s="3" t="inlineStr">
        <is>
          <t>Prospecter</t>
        </is>
      </c>
      <c r="E41" s="3" t="n">
        <v>7</v>
      </c>
      <c r="F41" s="18" t="n"/>
      <c r="G41" s="3">
        <f>IF(F41="","",F41-E41)</f>
        <v/>
      </c>
    </row>
    <row r="42">
      <c r="A42" s="2" t="n">
        <v>46693</v>
      </c>
      <c r="B42" s="3" t="inlineStr">
        <is>
          <t>Centre</t>
        </is>
      </c>
      <c r="C42" s="3" t="inlineStr">
        <is>
          <t>M2.2</t>
        </is>
      </c>
      <c r="D42" s="3" t="inlineStr">
        <is>
          <t>Négocier</t>
        </is>
      </c>
      <c r="E42" s="3" t="n">
        <v>7</v>
      </c>
      <c r="F42" s="18" t="n"/>
      <c r="G42" s="3">
        <f>IF(F42="","",F42-E42)</f>
        <v/>
      </c>
    </row>
    <row r="43">
      <c r="A43" s="2" t="n">
        <v>46694</v>
      </c>
      <c r="B43" s="3" t="inlineStr">
        <is>
          <t>Centre</t>
        </is>
      </c>
      <c r="C43" s="3" t="inlineStr">
        <is>
          <t>M2.2</t>
        </is>
      </c>
      <c r="D43" s="3" t="inlineStr">
        <is>
          <t>Fidéliser</t>
        </is>
      </c>
      <c r="E43" s="3" t="n">
        <v>7</v>
      </c>
      <c r="F43" s="18" t="n"/>
      <c r="G43" s="3">
        <f>IF(F43="","",F43-E43)</f>
        <v/>
      </c>
    </row>
    <row r="44">
      <c r="A44" s="2" t="n">
        <v>46695</v>
      </c>
      <c r="B44" s="3" t="inlineStr">
        <is>
          <t>Centre</t>
        </is>
      </c>
      <c r="C44" s="3" t="inlineStr">
        <is>
          <t>M2.2</t>
        </is>
      </c>
      <c r="D44" s="3" t="inlineStr">
        <is>
          <t>Piloter les actions commerciales</t>
        </is>
      </c>
      <c r="E44" s="3" t="n">
        <v>7</v>
      </c>
      <c r="F44" s="18" t="n"/>
      <c r="G44" s="3">
        <f>IF(F44="","",F44-E44)</f>
        <v/>
      </c>
    </row>
    <row r="45">
      <c r="A45" s="2" t="n">
        <v>46696</v>
      </c>
      <c r="B45" s="3" t="inlineStr">
        <is>
          <t>Centre</t>
        </is>
      </c>
      <c r="C45" s="3" t="inlineStr">
        <is>
          <t>T2</t>
        </is>
      </c>
      <c r="D45" s="3" t="inlineStr">
        <is>
          <t>Accueil et téléphone en anglais</t>
        </is>
      </c>
      <c r="E45" s="3" t="n">
        <v>7</v>
      </c>
      <c r="F45" s="18" t="n"/>
      <c r="G45" s="3">
        <f>IF(F45="","",F45-E45)</f>
        <v/>
      </c>
    </row>
    <row r="46">
      <c r="A46" s="2" t="n">
        <v>46699</v>
      </c>
      <c r="B46" s="3" t="inlineStr">
        <is>
          <t>Centre</t>
        </is>
      </c>
      <c r="C46" s="3" t="inlineStr">
        <is>
          <t>T2</t>
        </is>
      </c>
      <c r="D46" s="3" t="inlineStr">
        <is>
          <t>Échanges écrits simples en anglais</t>
        </is>
      </c>
      <c r="E46" s="3" t="n">
        <v>7</v>
      </c>
      <c r="F46" s="18" t="n"/>
      <c r="G46" s="3">
        <f>IF(F46="","",F46-E46)</f>
        <v/>
      </c>
    </row>
    <row r="47">
      <c r="A47" s="2" t="n">
        <v>46700</v>
      </c>
      <c r="B47" s="3" t="inlineStr">
        <is>
          <t>Centre</t>
        </is>
      </c>
      <c r="C47" s="3" t="inlineStr">
        <is>
          <t>T6</t>
        </is>
      </c>
      <c r="D47" s="3" t="inlineStr">
        <is>
          <t>Bilan de mi-parcours</t>
        </is>
      </c>
      <c r="E47" s="3" t="n">
        <v>7</v>
      </c>
      <c r="F47" s="18" t="n"/>
      <c r="G47" s="3">
        <f>IF(F47="","",F47-E47)</f>
        <v/>
      </c>
    </row>
    <row r="48">
      <c r="A48" s="2" t="n">
        <v>46701</v>
      </c>
      <c r="B48" s="3" t="inlineStr">
        <is>
          <t>Entreprise</t>
        </is>
      </c>
      <c r="C48" s="3" t="inlineStr">
        <is>
          <t>PAE</t>
        </is>
      </c>
      <c r="D48" s="3" t="inlineStr">
        <is>
          <t>Période en entreprise n° 1 — jour 1/15</t>
        </is>
      </c>
      <c r="E48" s="3" t="n">
        <v>7</v>
      </c>
      <c r="F48" s="18" t="n"/>
      <c r="G48" s="3">
        <f>IF(F48="","",F48-E48)</f>
        <v/>
      </c>
    </row>
    <row r="49">
      <c r="A49" s="2" t="n">
        <v>46703</v>
      </c>
      <c r="B49" s="3" t="inlineStr">
        <is>
          <t>Entreprise</t>
        </is>
      </c>
      <c r="C49" s="3" t="inlineStr">
        <is>
          <t>PAE</t>
        </is>
      </c>
      <c r="D49" s="3" t="inlineStr">
        <is>
          <t>Période en entreprise n° 1 — jour 2/15</t>
        </is>
      </c>
      <c r="E49" s="3" t="n">
        <v>7</v>
      </c>
      <c r="F49" s="18" t="n"/>
      <c r="G49" s="3">
        <f>IF(F49="","",F49-E49)</f>
        <v/>
      </c>
    </row>
    <row r="50">
      <c r="A50" s="2" t="n">
        <v>46706</v>
      </c>
      <c r="B50" s="3" t="inlineStr">
        <is>
          <t>Entreprise</t>
        </is>
      </c>
      <c r="C50" s="3" t="inlineStr">
        <is>
          <t>PAE</t>
        </is>
      </c>
      <c r="D50" s="3" t="inlineStr">
        <is>
          <t>Période en entreprise n° 1 — jour 3/15</t>
        </is>
      </c>
      <c r="E50" s="3" t="n">
        <v>7</v>
      </c>
      <c r="F50" s="18" t="n"/>
      <c r="G50" s="3">
        <f>IF(F50="","",F50-E50)</f>
        <v/>
      </c>
    </row>
    <row r="51">
      <c r="A51" s="2" t="n">
        <v>46707</v>
      </c>
      <c r="B51" s="3" t="inlineStr">
        <is>
          <t>Entreprise</t>
        </is>
      </c>
      <c r="C51" s="3" t="inlineStr">
        <is>
          <t>PAE</t>
        </is>
      </c>
      <c r="D51" s="3" t="inlineStr">
        <is>
          <t>Période en entreprise n° 1 — jour 4/15</t>
        </is>
      </c>
      <c r="E51" s="3" t="n">
        <v>7</v>
      </c>
      <c r="F51" s="18" t="n"/>
      <c r="G51" s="3">
        <f>IF(F51="","",F51-E51)</f>
        <v/>
      </c>
    </row>
    <row r="52">
      <c r="A52" s="2" t="n">
        <v>46708</v>
      </c>
      <c r="B52" s="3" t="inlineStr">
        <is>
          <t>Entreprise</t>
        </is>
      </c>
      <c r="C52" s="3" t="inlineStr">
        <is>
          <t>PAE</t>
        </is>
      </c>
      <c r="D52" s="3" t="inlineStr">
        <is>
          <t>Période en entreprise n° 1 — jour 5/15</t>
        </is>
      </c>
      <c r="E52" s="3" t="n">
        <v>7</v>
      </c>
      <c r="F52" s="18" t="n"/>
      <c r="G52" s="3">
        <f>IF(F52="","",F52-E52)</f>
        <v/>
      </c>
    </row>
    <row r="53">
      <c r="A53" s="2" t="n">
        <v>46709</v>
      </c>
      <c r="B53" s="3" t="inlineStr">
        <is>
          <t>Entreprise</t>
        </is>
      </c>
      <c r="C53" s="3" t="inlineStr">
        <is>
          <t>PAE</t>
        </is>
      </c>
      <c r="D53" s="3" t="inlineStr">
        <is>
          <t>Période en entreprise n° 1 — jour 6/15</t>
        </is>
      </c>
      <c r="E53" s="3" t="n">
        <v>7</v>
      </c>
      <c r="F53" s="18" t="n"/>
      <c r="G53" s="3">
        <f>IF(F53="","",F53-E53)</f>
        <v/>
      </c>
    </row>
    <row r="54">
      <c r="A54" s="2" t="n">
        <v>46710</v>
      </c>
      <c r="B54" s="3" t="inlineStr">
        <is>
          <t>Entreprise</t>
        </is>
      </c>
      <c r="C54" s="3" t="inlineStr">
        <is>
          <t>PAE</t>
        </is>
      </c>
      <c r="D54" s="3" t="inlineStr">
        <is>
          <t>Période en entreprise n° 1 — jour 7/15</t>
        </is>
      </c>
      <c r="E54" s="3" t="n">
        <v>7</v>
      </c>
      <c r="F54" s="18" t="n"/>
      <c r="G54" s="3">
        <f>IF(F54="","",F54-E54)</f>
        <v/>
      </c>
    </row>
    <row r="55">
      <c r="A55" s="2" t="n">
        <v>46713</v>
      </c>
      <c r="B55" s="3" t="inlineStr">
        <is>
          <t>Entreprise</t>
        </is>
      </c>
      <c r="C55" s="3" t="inlineStr">
        <is>
          <t>PAE</t>
        </is>
      </c>
      <c r="D55" s="3" t="inlineStr">
        <is>
          <t>Période en entreprise n° 1 — jour 8/15</t>
        </is>
      </c>
      <c r="E55" s="3" t="n">
        <v>7</v>
      </c>
      <c r="F55" s="18" t="n"/>
      <c r="G55" s="3">
        <f>IF(F55="","",F55-E55)</f>
        <v/>
      </c>
    </row>
    <row r="56">
      <c r="A56" s="2" t="n">
        <v>46714</v>
      </c>
      <c r="B56" s="3" t="inlineStr">
        <is>
          <t>Entreprise</t>
        </is>
      </c>
      <c r="C56" s="3" t="inlineStr">
        <is>
          <t>PAE</t>
        </is>
      </c>
      <c r="D56" s="3" t="inlineStr">
        <is>
          <t>Période en entreprise n° 1 — jour 9/15</t>
        </is>
      </c>
      <c r="E56" s="3" t="n">
        <v>7</v>
      </c>
      <c r="F56" s="18" t="n"/>
      <c r="G56" s="3">
        <f>IF(F56="","",F56-E56)</f>
        <v/>
      </c>
    </row>
    <row r="57">
      <c r="A57" s="2" t="n">
        <v>46715</v>
      </c>
      <c r="B57" s="3" t="inlineStr">
        <is>
          <t>Entreprise</t>
        </is>
      </c>
      <c r="C57" s="3" t="inlineStr">
        <is>
          <t>PAE</t>
        </is>
      </c>
      <c r="D57" s="3" t="inlineStr">
        <is>
          <t>Période en entreprise n° 1 — jour 10/15</t>
        </is>
      </c>
      <c r="E57" s="3" t="n">
        <v>7</v>
      </c>
      <c r="F57" s="18" t="n"/>
      <c r="G57" s="3">
        <f>IF(F57="","",F57-E57)</f>
        <v/>
      </c>
    </row>
    <row r="58">
      <c r="A58" s="2" t="n">
        <v>46716</v>
      </c>
      <c r="B58" s="3" t="inlineStr">
        <is>
          <t>Entreprise</t>
        </is>
      </c>
      <c r="C58" s="3" t="inlineStr">
        <is>
          <t>PAE</t>
        </is>
      </c>
      <c r="D58" s="3" t="inlineStr">
        <is>
          <t>Période en entreprise n° 1 — jour 11/15</t>
        </is>
      </c>
      <c r="E58" s="3" t="n">
        <v>7</v>
      </c>
      <c r="F58" s="18" t="n"/>
      <c r="G58" s="3">
        <f>IF(F58="","",F58-E58)</f>
        <v/>
      </c>
    </row>
    <row r="59">
      <c r="A59" s="2" t="n">
        <v>46717</v>
      </c>
      <c r="B59" s="3" t="inlineStr">
        <is>
          <t>Entreprise</t>
        </is>
      </c>
      <c r="C59" s="3" t="inlineStr">
        <is>
          <t>PAE</t>
        </is>
      </c>
      <c r="D59" s="3" t="inlineStr">
        <is>
          <t>Période en entreprise n° 1 — jour 12/15</t>
        </is>
      </c>
      <c r="E59" s="3" t="n">
        <v>7</v>
      </c>
      <c r="F59" s="18" t="n"/>
      <c r="G59" s="3">
        <f>IF(F59="","",F59-E59)</f>
        <v/>
      </c>
    </row>
    <row r="60">
      <c r="A60" s="2" t="n">
        <v>46720</v>
      </c>
      <c r="B60" s="3" t="inlineStr">
        <is>
          <t>Entreprise</t>
        </is>
      </c>
      <c r="C60" s="3" t="inlineStr">
        <is>
          <t>PAE</t>
        </is>
      </c>
      <c r="D60" s="3" t="inlineStr">
        <is>
          <t>Période en entreprise n° 1 — jour 13/15</t>
        </is>
      </c>
      <c r="E60" s="3" t="n">
        <v>7</v>
      </c>
      <c r="F60" s="18" t="n"/>
      <c r="G60" s="3">
        <f>IF(F60="","",F60-E60)</f>
        <v/>
      </c>
    </row>
    <row r="61">
      <c r="A61" s="2" t="n">
        <v>46721</v>
      </c>
      <c r="B61" s="3" t="inlineStr">
        <is>
          <t>Entreprise</t>
        </is>
      </c>
      <c r="C61" s="3" t="inlineStr">
        <is>
          <t>PAE</t>
        </is>
      </c>
      <c r="D61" s="3" t="inlineStr">
        <is>
          <t>Période en entreprise n° 1 — jour 14/15</t>
        </is>
      </c>
      <c r="E61" s="3" t="n">
        <v>7</v>
      </c>
      <c r="F61" s="18" t="n"/>
      <c r="G61" s="3">
        <f>IF(F61="","",F61-E61)</f>
        <v/>
      </c>
    </row>
    <row r="62">
      <c r="A62" s="2" t="n">
        <v>46722</v>
      </c>
      <c r="B62" s="3" t="inlineStr">
        <is>
          <t>Entreprise</t>
        </is>
      </c>
      <c r="C62" s="3" t="inlineStr">
        <is>
          <t>PAE</t>
        </is>
      </c>
      <c r="D62" s="3" t="inlineStr">
        <is>
          <t>Période en entreprise n° 1 — jour 15/15</t>
        </is>
      </c>
      <c r="E62" s="3" t="n">
        <v>7</v>
      </c>
      <c r="F62" s="18" t="n"/>
      <c r="G62" s="3">
        <f>IF(F62="","",F62-E62)</f>
        <v/>
      </c>
    </row>
    <row r="63">
      <c r="A63" s="2" t="n">
        <v>46723</v>
      </c>
      <c r="B63" s="3" t="inlineStr">
        <is>
          <t>Centre</t>
        </is>
      </c>
      <c r="C63" s="3" t="inlineStr">
        <is>
          <t>M2.3</t>
        </is>
      </c>
      <c r="D63" s="3" t="inlineStr">
        <is>
          <t>Processus et cartographie</t>
        </is>
      </c>
      <c r="E63" s="3" t="n">
        <v>7</v>
      </c>
      <c r="F63" s="18" t="n"/>
      <c r="G63" s="3">
        <f>IF(F63="","",F63-E63)</f>
        <v/>
      </c>
    </row>
    <row r="64">
      <c r="A64" s="2" t="n">
        <v>46724</v>
      </c>
      <c r="B64" s="3" t="inlineStr">
        <is>
          <t>Centre</t>
        </is>
      </c>
      <c r="C64" s="3" t="inlineStr">
        <is>
          <t>M2.3</t>
        </is>
      </c>
      <c r="D64" s="3" t="inlineStr">
        <is>
          <t>Qualité et amélioration continue</t>
        </is>
      </c>
      <c r="E64" s="3" t="n">
        <v>7</v>
      </c>
      <c r="F64" s="18" t="n"/>
      <c r="G64" s="3">
        <f>IF(F64="","",F64-E64)</f>
        <v/>
      </c>
    </row>
    <row r="65">
      <c r="A65" s="2" t="n">
        <v>46727</v>
      </c>
      <c r="B65" s="3" t="inlineStr">
        <is>
          <t>Centre</t>
        </is>
      </c>
      <c r="C65" s="3" t="inlineStr">
        <is>
          <t>M2.3</t>
        </is>
      </c>
      <c r="D65" s="3" t="inlineStr">
        <is>
          <t>Achats et fournisseurs</t>
        </is>
      </c>
      <c r="E65" s="3" t="n">
        <v>7</v>
      </c>
      <c r="F65" s="18" t="n"/>
      <c r="G65" s="3">
        <f>IF(F65="","",F65-E65)</f>
        <v/>
      </c>
    </row>
    <row r="66">
      <c r="A66" s="2" t="n">
        <v>46728</v>
      </c>
      <c r="B66" s="3" t="inlineStr">
        <is>
          <t>Centre</t>
        </is>
      </c>
      <c r="C66" s="3" t="inlineStr">
        <is>
          <t>M2.3</t>
        </is>
      </c>
      <c r="D66" s="3" t="inlineStr">
        <is>
          <t>Stocks et logistique insulaire</t>
        </is>
      </c>
      <c r="E66" s="3" t="n">
        <v>7</v>
      </c>
      <c r="F66" s="18" t="n"/>
      <c r="G66" s="3">
        <f>IF(F66="","",F66-E66)</f>
        <v/>
      </c>
    </row>
    <row r="67">
      <c r="A67" s="2" t="n">
        <v>46729</v>
      </c>
      <c r="B67" s="3" t="inlineStr">
        <is>
          <t>Centre</t>
        </is>
      </c>
      <c r="C67" s="3" t="inlineStr">
        <is>
          <t>M2.3</t>
        </is>
      </c>
      <c r="D67" s="3" t="inlineStr">
        <is>
          <t>Planifier la production</t>
        </is>
      </c>
      <c r="E67" s="3" t="n">
        <v>7</v>
      </c>
      <c r="F67" s="18" t="n"/>
      <c r="G67" s="3">
        <f>IF(F67="","",F67-E67)</f>
        <v/>
      </c>
    </row>
    <row r="68">
      <c r="A68" s="2" t="n">
        <v>46730</v>
      </c>
      <c r="B68" s="3" t="inlineStr">
        <is>
          <t>Centre</t>
        </is>
      </c>
      <c r="C68" s="3" t="inlineStr">
        <is>
          <t>M2.3</t>
        </is>
      </c>
      <c r="D68" s="3" t="inlineStr">
        <is>
          <t>Gérer les aléas de production</t>
        </is>
      </c>
      <c r="E68" s="3" t="n">
        <v>7</v>
      </c>
      <c r="F68" s="18" t="n"/>
      <c r="G68" s="3">
        <f>IF(F68="","",F68-E68)</f>
        <v/>
      </c>
    </row>
    <row r="69">
      <c r="A69" s="2" t="n">
        <v>46731</v>
      </c>
      <c r="B69" s="3" t="inlineStr">
        <is>
          <t>Centre</t>
        </is>
      </c>
      <c r="C69" s="3" t="inlineStr">
        <is>
          <t>M2.3</t>
        </is>
      </c>
      <c r="D69" s="3" t="inlineStr">
        <is>
          <t>Automatiser et digitaliser simplement</t>
        </is>
      </c>
      <c r="E69" s="3" t="n">
        <v>7</v>
      </c>
      <c r="F69" s="18" t="n"/>
      <c r="G69" s="3">
        <f>IF(F69="","",F69-E69)</f>
        <v/>
      </c>
    </row>
    <row r="70">
      <c r="A70" s="2" t="n">
        <v>46734</v>
      </c>
      <c r="B70" s="3" t="inlineStr">
        <is>
          <t>Centre</t>
        </is>
      </c>
      <c r="C70" s="3" t="inlineStr">
        <is>
          <t>M2.3</t>
        </is>
      </c>
      <c r="D70" s="3" t="inlineStr">
        <is>
          <t>Indicateurs de production</t>
        </is>
      </c>
      <c r="E70" s="3" t="n">
        <v>7</v>
      </c>
      <c r="F70" s="18" t="n"/>
      <c r="G70" s="3">
        <f>IF(F70="","",F70-E70)</f>
        <v/>
      </c>
    </row>
    <row r="71">
      <c r="A71" s="2" t="n">
        <v>46735</v>
      </c>
      <c r="B71" s="3" t="inlineStr">
        <is>
          <t>Centre</t>
        </is>
      </c>
      <c r="C71" s="3" t="inlineStr">
        <is>
          <t>T1</t>
        </is>
      </c>
      <c r="D71" s="3" t="inlineStr">
        <is>
          <t>Comprendre l'IA générative</t>
        </is>
      </c>
      <c r="E71" s="3" t="n">
        <v>7</v>
      </c>
      <c r="F71" s="18" t="n"/>
      <c r="G71" s="3">
        <f>IF(F71="","",F71-E71)</f>
        <v/>
      </c>
    </row>
    <row r="72">
      <c r="A72" s="2" t="n">
        <v>46736</v>
      </c>
      <c r="B72" s="3" t="inlineStr">
        <is>
          <t>Centre</t>
        </is>
      </c>
      <c r="C72" s="3" t="inlineStr">
        <is>
          <t>T1</t>
        </is>
      </c>
      <c r="D72" s="3" t="inlineStr">
        <is>
          <t>L'IA au service de la direction</t>
        </is>
      </c>
      <c r="E72" s="3" t="n">
        <v>7</v>
      </c>
      <c r="F72" s="18" t="n"/>
      <c r="G72" s="3">
        <f>IF(F72="","",F72-E72)</f>
        <v/>
      </c>
    </row>
    <row r="73">
      <c r="A73" s="2" t="n">
        <v>46737</v>
      </c>
      <c r="B73" s="3" t="inlineStr">
        <is>
          <t>Centre</t>
        </is>
      </c>
      <c r="C73" s="3" t="inlineStr">
        <is>
          <t>T1</t>
        </is>
      </c>
      <c r="D73" s="3" t="inlineStr">
        <is>
          <t>Workflows et automatisations</t>
        </is>
      </c>
      <c r="E73" s="3" t="n">
        <v>7</v>
      </c>
      <c r="F73" s="18" t="n"/>
      <c r="G73" s="3">
        <f>IF(F73="","",F73-E73)</f>
        <v/>
      </c>
    </row>
    <row r="74">
      <c r="A74" s="2" t="n">
        <v>46738</v>
      </c>
      <c r="B74" s="3" t="inlineStr">
        <is>
          <t>Centre</t>
        </is>
      </c>
      <c r="C74" s="3" t="inlineStr">
        <is>
          <t>T1</t>
        </is>
      </c>
      <c r="D74" s="3" t="inlineStr">
        <is>
          <t>RGPD du dirigeant</t>
        </is>
      </c>
      <c r="E74" s="3" t="n">
        <v>7</v>
      </c>
      <c r="F74" s="18" t="n"/>
      <c r="G74" s="3">
        <f>IF(F74="","",F74-E74)</f>
        <v/>
      </c>
    </row>
    <row r="75">
      <c r="A75" s="2" t="n">
        <v>46755</v>
      </c>
      <c r="B75" s="3" t="inlineStr">
        <is>
          <t>Centre</t>
        </is>
      </c>
      <c r="C75" s="3" t="inlineStr">
        <is>
          <t>T1</t>
        </is>
      </c>
      <c r="D75" s="3" t="inlineStr">
        <is>
          <t>IA Act et cybersécurité</t>
        </is>
      </c>
      <c r="E75" s="3" t="n">
        <v>7</v>
      </c>
      <c r="F75" s="18" t="n"/>
      <c r="G75" s="3">
        <f>IF(F75="","",F75-E75)</f>
        <v/>
      </c>
    </row>
    <row r="76">
      <c r="A76" s="2" t="n">
        <v>46756</v>
      </c>
      <c r="B76" s="3" t="inlineStr">
        <is>
          <t>Centre</t>
        </is>
      </c>
      <c r="C76" s="3" t="inlineStr">
        <is>
          <t>T1</t>
        </is>
      </c>
      <c r="D76" s="3" t="inlineStr">
        <is>
          <t>Charte d'usage de l'IA</t>
        </is>
      </c>
      <c r="E76" s="3" t="n">
        <v>7</v>
      </c>
      <c r="F76" s="18" t="n"/>
      <c r="G76" s="3">
        <f>IF(F76="","",F76-E76)</f>
        <v/>
      </c>
    </row>
    <row r="77">
      <c r="A77" s="2" t="n">
        <v>46757</v>
      </c>
      <c r="B77" s="3" t="inlineStr">
        <is>
          <t>Centre</t>
        </is>
      </c>
      <c r="C77" s="3" t="inlineStr">
        <is>
          <t>M3.1</t>
        </is>
      </c>
      <c r="D77" s="3" t="inlineStr">
        <is>
          <t>Structure du bilan</t>
        </is>
      </c>
      <c r="E77" s="3" t="n">
        <v>7</v>
      </c>
      <c r="F77" s="18" t="n"/>
      <c r="G77" s="3">
        <f>IF(F77="","",F77-E77)</f>
        <v/>
      </c>
    </row>
    <row r="78">
      <c r="A78" s="2" t="n">
        <v>46758</v>
      </c>
      <c r="B78" s="3" t="inlineStr">
        <is>
          <t>Centre</t>
        </is>
      </c>
      <c r="C78" s="3" t="inlineStr">
        <is>
          <t>M3.1</t>
        </is>
      </c>
      <c r="D78" s="3" t="inlineStr">
        <is>
          <t>L'actif</t>
        </is>
      </c>
      <c r="E78" s="3" t="n">
        <v>7</v>
      </c>
      <c r="F78" s="18" t="n"/>
      <c r="G78" s="3">
        <f>IF(F78="","",F78-E78)</f>
        <v/>
      </c>
    </row>
    <row r="79">
      <c r="A79" s="2" t="n">
        <v>46759</v>
      </c>
      <c r="B79" s="3" t="inlineStr">
        <is>
          <t>Centre</t>
        </is>
      </c>
      <c r="C79" s="3" t="inlineStr">
        <is>
          <t>M3.1</t>
        </is>
      </c>
      <c r="D79" s="3" t="inlineStr">
        <is>
          <t>Le passif</t>
        </is>
      </c>
      <c r="E79" s="3" t="n">
        <v>7</v>
      </c>
      <c r="F79" s="18" t="n"/>
      <c r="G79" s="3">
        <f>IF(F79="","",F79-E79)</f>
        <v/>
      </c>
    </row>
    <row r="80">
      <c r="A80" s="2" t="n">
        <v>46762</v>
      </c>
      <c r="B80" s="3" t="inlineStr">
        <is>
          <t>Centre</t>
        </is>
      </c>
      <c r="C80" s="3" t="inlineStr">
        <is>
          <t>M3.1</t>
        </is>
      </c>
      <c r="D80" s="3" t="inlineStr">
        <is>
          <t>Fonds de roulement, BFR et trésorerie</t>
        </is>
      </c>
      <c r="E80" s="3" t="n">
        <v>7</v>
      </c>
      <c r="F80" s="18" t="n"/>
      <c r="G80" s="3">
        <f>IF(F80="","",F80-E80)</f>
        <v/>
      </c>
    </row>
    <row r="81">
      <c r="A81" s="2" t="n">
        <v>46763</v>
      </c>
      <c r="B81" s="3" t="inlineStr">
        <is>
          <t>Centre</t>
        </is>
      </c>
      <c r="C81" s="3" t="inlineStr">
        <is>
          <t>M3.1</t>
        </is>
      </c>
      <c r="D81" s="3" t="inlineStr">
        <is>
          <t>Ratios de structure</t>
        </is>
      </c>
      <c r="E81" s="3" t="n">
        <v>7</v>
      </c>
      <c r="F81" s="18" t="n"/>
      <c r="G81" s="3">
        <f>IF(F81="","",F81-E81)</f>
        <v/>
      </c>
    </row>
    <row r="82">
      <c r="A82" s="2" t="n">
        <v>46764</v>
      </c>
      <c r="B82" s="3" t="inlineStr">
        <is>
          <t>Centre</t>
        </is>
      </c>
      <c r="C82" s="3" t="inlineStr">
        <is>
          <t>M3.1</t>
        </is>
      </c>
      <c r="D82" s="3" t="inlineStr">
        <is>
          <t>Lire une liasse fiscale</t>
        </is>
      </c>
      <c r="E82" s="3" t="n">
        <v>7</v>
      </c>
      <c r="F82" s="18" t="n"/>
      <c r="G82" s="3">
        <f>IF(F82="","",F82-E82)</f>
        <v/>
      </c>
    </row>
    <row r="83">
      <c r="A83" s="2" t="n">
        <v>46765</v>
      </c>
      <c r="B83" s="3" t="inlineStr">
        <is>
          <t>Centre</t>
        </is>
      </c>
      <c r="C83" s="3" t="inlineStr">
        <is>
          <t>M3.1</t>
        </is>
      </c>
      <c r="D83" s="3" t="inlineStr">
        <is>
          <t>Diagnostic financier</t>
        </is>
      </c>
      <c r="E83" s="3" t="n">
        <v>7</v>
      </c>
      <c r="F83" s="18" t="n"/>
      <c r="G83" s="3">
        <f>IF(F83="","",F83-E83)</f>
        <v/>
      </c>
    </row>
    <row r="84">
      <c r="A84" s="2" t="n">
        <v>46766</v>
      </c>
      <c r="B84" s="3" t="inlineStr">
        <is>
          <t>Centre</t>
        </is>
      </c>
      <c r="C84" s="3" t="inlineStr">
        <is>
          <t>M3.2</t>
        </is>
      </c>
      <c r="D84" s="3" t="inlineStr">
        <is>
          <t>Lire le compte de résultat</t>
        </is>
      </c>
      <c r="E84" s="3" t="n">
        <v>7</v>
      </c>
      <c r="F84" s="18" t="n"/>
      <c r="G84" s="3">
        <f>IF(F84="","",F84-E84)</f>
        <v/>
      </c>
    </row>
    <row r="85">
      <c r="A85" s="2" t="n">
        <v>46769</v>
      </c>
      <c r="B85" s="3" t="inlineStr">
        <is>
          <t>Centre</t>
        </is>
      </c>
      <c r="C85" s="3" t="inlineStr">
        <is>
          <t>M3.2</t>
        </is>
      </c>
      <c r="D85" s="3" t="inlineStr">
        <is>
          <t>Soldes intermédiaires de gestion</t>
        </is>
      </c>
      <c r="E85" s="3" t="n">
        <v>7</v>
      </c>
      <c r="F85" s="18" t="n"/>
      <c r="G85" s="3">
        <f>IF(F85="","",F85-E85)</f>
        <v/>
      </c>
    </row>
    <row r="86">
      <c r="A86" s="2" t="n">
        <v>46770</v>
      </c>
      <c r="B86" s="3" t="inlineStr">
        <is>
          <t>Centre</t>
        </is>
      </c>
      <c r="C86" s="3" t="inlineStr">
        <is>
          <t>M3.2</t>
        </is>
      </c>
      <c r="D86" s="3" t="inlineStr">
        <is>
          <t>Capacité d'autofinancement</t>
        </is>
      </c>
      <c r="E86" s="3" t="n">
        <v>7</v>
      </c>
      <c r="F86" s="18" t="n"/>
      <c r="G86" s="3">
        <f>IF(F86="","",F86-E86)</f>
        <v/>
      </c>
    </row>
    <row r="87">
      <c r="A87" s="2" t="n">
        <v>46771</v>
      </c>
      <c r="B87" s="3" t="inlineStr">
        <is>
          <t>Centre</t>
        </is>
      </c>
      <c r="C87" s="3" t="inlineStr">
        <is>
          <t>M3.2</t>
        </is>
      </c>
      <c r="D87" s="3" t="inlineStr">
        <is>
          <t>Seuil de rentabilité</t>
        </is>
      </c>
      <c r="E87" s="3" t="n">
        <v>7</v>
      </c>
      <c r="F87" s="18" t="n"/>
      <c r="G87" s="3">
        <f>IF(F87="","",F87-E87)</f>
        <v/>
      </c>
    </row>
    <row r="88">
      <c r="A88" s="2" t="n">
        <v>46772</v>
      </c>
      <c r="B88" s="3" t="inlineStr">
        <is>
          <t>Centre</t>
        </is>
      </c>
      <c r="C88" s="3" t="inlineStr">
        <is>
          <t>M3.2</t>
        </is>
      </c>
      <c r="D88" s="3" t="inlineStr">
        <is>
          <t>Budget prévisionnel</t>
        </is>
      </c>
      <c r="E88" s="3" t="n">
        <v>7</v>
      </c>
      <c r="F88" s="18" t="n"/>
      <c r="G88" s="3">
        <f>IF(F88="","",F88-E88)</f>
        <v/>
      </c>
    </row>
    <row r="89">
      <c r="A89" s="2" t="n">
        <v>46773</v>
      </c>
      <c r="B89" s="3" t="inlineStr">
        <is>
          <t>Centre</t>
        </is>
      </c>
      <c r="C89" s="3" t="inlineStr">
        <is>
          <t>M3.2</t>
        </is>
      </c>
      <c r="D89" s="3" t="inlineStr">
        <is>
          <t>Plan de trésorerie</t>
        </is>
      </c>
      <c r="E89" s="3" t="n">
        <v>7</v>
      </c>
      <c r="F89" s="18" t="n"/>
      <c r="G89" s="3">
        <f>IF(F89="","",F89-E89)</f>
        <v/>
      </c>
    </row>
    <row r="90">
      <c r="A90" s="2" t="n">
        <v>46776</v>
      </c>
      <c r="B90" s="3" t="inlineStr">
        <is>
          <t>Centre</t>
        </is>
      </c>
      <c r="C90" s="3" t="inlineStr">
        <is>
          <t>M3.2</t>
        </is>
      </c>
      <c r="D90" s="3" t="inlineStr">
        <is>
          <t>Tableau de bord du dirigeant</t>
        </is>
      </c>
      <c r="E90" s="3" t="n">
        <v>7</v>
      </c>
      <c r="F90" s="18" t="n"/>
      <c r="G90" s="3">
        <f>IF(F90="","",F90-E90)</f>
        <v/>
      </c>
    </row>
    <row r="91">
      <c r="A91" s="2" t="n">
        <v>46777</v>
      </c>
      <c r="B91" s="3" t="inlineStr">
        <is>
          <t>Centre</t>
        </is>
      </c>
      <c r="C91" s="3" t="inlineStr">
        <is>
          <t>M3.3</t>
        </is>
      </c>
      <c r="D91" s="3" t="inlineStr">
        <is>
          <t>Structure d'un rapport d'activité</t>
        </is>
      </c>
      <c r="E91" s="3" t="n">
        <v>7</v>
      </c>
      <c r="F91" s="18" t="n"/>
      <c r="G91" s="3">
        <f>IF(F91="","",F91-E91)</f>
        <v/>
      </c>
    </row>
    <row r="92">
      <c r="A92" s="2" t="n">
        <v>46778</v>
      </c>
      <c r="B92" s="3" t="inlineStr">
        <is>
          <t>Centre</t>
        </is>
      </c>
      <c r="C92" s="3" t="inlineStr">
        <is>
          <t>M3.3</t>
        </is>
      </c>
      <c r="D92" s="3" t="inlineStr">
        <is>
          <t>Indicateurs extra-financiers</t>
        </is>
      </c>
      <c r="E92" s="3" t="n">
        <v>7</v>
      </c>
      <c r="F92" s="18" t="n"/>
      <c r="G92" s="3">
        <f>IF(F92="","",F92-E92)</f>
        <v/>
      </c>
    </row>
    <row r="93">
      <c r="A93" s="2" t="n">
        <v>46779</v>
      </c>
      <c r="B93" s="3" t="inlineStr">
        <is>
          <t>Centre</t>
        </is>
      </c>
      <c r="C93" s="3" t="inlineStr">
        <is>
          <t>M3.3</t>
        </is>
      </c>
      <c r="D93" s="3" t="inlineStr">
        <is>
          <t>Rédiger clairement</t>
        </is>
      </c>
      <c r="E93" s="3" t="n">
        <v>7</v>
      </c>
      <c r="F93" s="18" t="n"/>
      <c r="G93" s="3">
        <f>IF(F93="","",F93-E93)</f>
        <v/>
      </c>
    </row>
    <row r="94">
      <c r="A94" s="2" t="n">
        <v>46780</v>
      </c>
      <c r="B94" s="3" t="inlineStr">
        <is>
          <t>Centre</t>
        </is>
      </c>
      <c r="C94" s="3" t="inlineStr">
        <is>
          <t>M3.3</t>
        </is>
      </c>
      <c r="D94" s="3" t="inlineStr">
        <is>
          <t>Rendre le rapport accessible</t>
        </is>
      </c>
      <c r="E94" s="3" t="n">
        <v>7</v>
      </c>
      <c r="F94" s="18" t="n"/>
      <c r="G94" s="3">
        <f>IF(F94="","",F94-E94)</f>
        <v/>
      </c>
    </row>
    <row r="95">
      <c r="A95" s="2" t="n">
        <v>46783</v>
      </c>
      <c r="B95" s="3" t="inlineStr">
        <is>
          <t>Centre</t>
        </is>
      </c>
      <c r="C95" s="3" t="inlineStr">
        <is>
          <t>M3.3</t>
        </is>
      </c>
      <c r="D95" s="3" t="inlineStr">
        <is>
          <t>Présenter à la gouvernance</t>
        </is>
      </c>
      <c r="E95" s="3" t="n">
        <v>7</v>
      </c>
      <c r="F95" s="18" t="n"/>
      <c r="G95" s="3">
        <f>IF(F95="","",F95-E95)</f>
        <v/>
      </c>
    </row>
    <row r="96">
      <c r="A96" s="2" t="n">
        <v>46784</v>
      </c>
      <c r="B96" s="3" t="inlineStr">
        <is>
          <t>Centre</t>
        </is>
      </c>
      <c r="C96" s="3" t="inlineStr">
        <is>
          <t>M3.3</t>
        </is>
      </c>
      <c r="D96" s="3" t="inlineStr">
        <is>
          <t>Répondre aux questions</t>
        </is>
      </c>
      <c r="E96" s="3" t="n">
        <v>7</v>
      </c>
      <c r="F96" s="18" t="n"/>
      <c r="G96" s="3">
        <f>IF(F96="","",F96-E96)</f>
        <v/>
      </c>
    </row>
    <row r="97">
      <c r="A97" s="2" t="n">
        <v>46785</v>
      </c>
      <c r="B97" s="3" t="inlineStr">
        <is>
          <t>Entreprise</t>
        </is>
      </c>
      <c r="C97" s="3" t="inlineStr">
        <is>
          <t>PAE</t>
        </is>
      </c>
      <c r="D97" s="3" t="inlineStr">
        <is>
          <t>Période en entreprise n° 2 — jour 1/15</t>
        </is>
      </c>
      <c r="E97" s="3" t="n">
        <v>7</v>
      </c>
      <c r="F97" s="18" t="n"/>
      <c r="G97" s="3">
        <f>IF(F97="","",F97-E97)</f>
        <v/>
      </c>
    </row>
    <row r="98">
      <c r="A98" s="2" t="n">
        <v>46786</v>
      </c>
      <c r="B98" s="3" t="inlineStr">
        <is>
          <t>Entreprise</t>
        </is>
      </c>
      <c r="C98" s="3" t="inlineStr">
        <is>
          <t>PAE</t>
        </is>
      </c>
      <c r="D98" s="3" t="inlineStr">
        <is>
          <t>Période en entreprise n° 2 — jour 2/15</t>
        </is>
      </c>
      <c r="E98" s="3" t="n">
        <v>7</v>
      </c>
      <c r="F98" s="18" t="n"/>
      <c r="G98" s="3">
        <f>IF(F98="","",F98-E98)</f>
        <v/>
      </c>
    </row>
    <row r="99">
      <c r="A99" s="2" t="n">
        <v>46787</v>
      </c>
      <c r="B99" s="3" t="inlineStr">
        <is>
          <t>Entreprise</t>
        </is>
      </c>
      <c r="C99" s="3" t="inlineStr">
        <is>
          <t>PAE</t>
        </is>
      </c>
      <c r="D99" s="3" t="inlineStr">
        <is>
          <t>Période en entreprise n° 2 — jour 3/15</t>
        </is>
      </c>
      <c r="E99" s="3" t="n">
        <v>7</v>
      </c>
      <c r="F99" s="18" t="n"/>
      <c r="G99" s="3">
        <f>IF(F99="","",F99-E99)</f>
        <v/>
      </c>
    </row>
    <row r="100">
      <c r="A100" s="2" t="n">
        <v>46790</v>
      </c>
      <c r="B100" s="3" t="inlineStr">
        <is>
          <t>Entreprise</t>
        </is>
      </c>
      <c r="C100" s="3" t="inlineStr">
        <is>
          <t>PAE</t>
        </is>
      </c>
      <c r="D100" s="3" t="inlineStr">
        <is>
          <t>Période en entreprise n° 2 — jour 4/15</t>
        </is>
      </c>
      <c r="E100" s="3" t="n">
        <v>7</v>
      </c>
      <c r="F100" s="18" t="n"/>
      <c r="G100" s="3">
        <f>IF(F100="","",F100-E100)</f>
        <v/>
      </c>
    </row>
    <row r="101">
      <c r="A101" s="2" t="n">
        <v>46791</v>
      </c>
      <c r="B101" s="3" t="inlineStr">
        <is>
          <t>Entreprise</t>
        </is>
      </c>
      <c r="C101" s="3" t="inlineStr">
        <is>
          <t>PAE</t>
        </is>
      </c>
      <c r="D101" s="3" t="inlineStr">
        <is>
          <t>Période en entreprise n° 2 — jour 5/15</t>
        </is>
      </c>
      <c r="E101" s="3" t="n">
        <v>7</v>
      </c>
      <c r="F101" s="18" t="n"/>
      <c r="G101" s="3">
        <f>IF(F101="","",F101-E101)</f>
        <v/>
      </c>
    </row>
    <row r="102">
      <c r="A102" s="2" t="n">
        <v>46792</v>
      </c>
      <c r="B102" s="3" t="inlineStr">
        <is>
          <t>Entreprise</t>
        </is>
      </c>
      <c r="C102" s="3" t="inlineStr">
        <is>
          <t>PAE</t>
        </is>
      </c>
      <c r="D102" s="3" t="inlineStr">
        <is>
          <t>Période en entreprise n° 2 — jour 6/15</t>
        </is>
      </c>
      <c r="E102" s="3" t="n">
        <v>7</v>
      </c>
      <c r="F102" s="18" t="n"/>
      <c r="G102" s="3">
        <f>IF(F102="","",F102-E102)</f>
        <v/>
      </c>
    </row>
    <row r="103">
      <c r="A103" s="2" t="n">
        <v>46793</v>
      </c>
      <c r="B103" s="3" t="inlineStr">
        <is>
          <t>Entreprise</t>
        </is>
      </c>
      <c r="C103" s="3" t="inlineStr">
        <is>
          <t>PAE</t>
        </is>
      </c>
      <c r="D103" s="3" t="inlineStr">
        <is>
          <t>Période en entreprise n° 2 — jour 7/15</t>
        </is>
      </c>
      <c r="E103" s="3" t="n">
        <v>7</v>
      </c>
      <c r="F103" s="18" t="n"/>
      <c r="G103" s="3">
        <f>IF(F103="","",F103-E103)</f>
        <v/>
      </c>
    </row>
    <row r="104">
      <c r="A104" s="2" t="n">
        <v>46794</v>
      </c>
      <c r="B104" s="3" t="inlineStr">
        <is>
          <t>Entreprise</t>
        </is>
      </c>
      <c r="C104" s="3" t="inlineStr">
        <is>
          <t>PAE</t>
        </is>
      </c>
      <c r="D104" s="3" t="inlineStr">
        <is>
          <t>Période en entreprise n° 2 — jour 8/15</t>
        </is>
      </c>
      <c r="E104" s="3" t="n">
        <v>7</v>
      </c>
      <c r="F104" s="18" t="n"/>
      <c r="G104" s="3">
        <f>IF(F104="","",F104-E104)</f>
        <v/>
      </c>
    </row>
    <row r="105">
      <c r="A105" s="2" t="n">
        <v>46797</v>
      </c>
      <c r="B105" s="3" t="inlineStr">
        <is>
          <t>Entreprise</t>
        </is>
      </c>
      <c r="C105" s="3" t="inlineStr">
        <is>
          <t>PAE</t>
        </is>
      </c>
      <c r="D105" s="3" t="inlineStr">
        <is>
          <t>Période en entreprise n° 2 — jour 9/15</t>
        </is>
      </c>
      <c r="E105" s="3" t="n">
        <v>7</v>
      </c>
      <c r="F105" s="18" t="n"/>
      <c r="G105" s="3">
        <f>IF(F105="","",F105-E105)</f>
        <v/>
      </c>
    </row>
    <row r="106">
      <c r="A106" s="2" t="n">
        <v>46798</v>
      </c>
      <c r="B106" s="3" t="inlineStr">
        <is>
          <t>Entreprise</t>
        </is>
      </c>
      <c r="C106" s="3" t="inlineStr">
        <is>
          <t>PAE</t>
        </is>
      </c>
      <c r="D106" s="3" t="inlineStr">
        <is>
          <t>Période en entreprise n° 2 — jour 10/15</t>
        </is>
      </c>
      <c r="E106" s="3" t="n">
        <v>7</v>
      </c>
      <c r="F106" s="18" t="n"/>
      <c r="G106" s="3">
        <f>IF(F106="","",F106-E106)</f>
        <v/>
      </c>
    </row>
    <row r="107">
      <c r="A107" s="2" t="n">
        <v>46799</v>
      </c>
      <c r="B107" s="3" t="inlineStr">
        <is>
          <t>Entreprise</t>
        </is>
      </c>
      <c r="C107" s="3" t="inlineStr">
        <is>
          <t>PAE</t>
        </is>
      </c>
      <c r="D107" s="3" t="inlineStr">
        <is>
          <t>Période en entreprise n° 2 — jour 11/15</t>
        </is>
      </c>
      <c r="E107" s="3" t="n">
        <v>7</v>
      </c>
      <c r="F107" s="18" t="n"/>
      <c r="G107" s="3">
        <f>IF(F107="","",F107-E107)</f>
        <v/>
      </c>
    </row>
    <row r="108">
      <c r="A108" s="2" t="n">
        <v>46800</v>
      </c>
      <c r="B108" s="3" t="inlineStr">
        <is>
          <t>Entreprise</t>
        </is>
      </c>
      <c r="C108" s="3" t="inlineStr">
        <is>
          <t>PAE</t>
        </is>
      </c>
      <c r="D108" s="3" t="inlineStr">
        <is>
          <t>Période en entreprise n° 2 — jour 12/15</t>
        </is>
      </c>
      <c r="E108" s="3" t="n">
        <v>7</v>
      </c>
      <c r="F108" s="18" t="n"/>
      <c r="G108" s="3">
        <f>IF(F108="","",F108-E108)</f>
        <v/>
      </c>
    </row>
    <row r="109">
      <c r="A109" s="2" t="n">
        <v>46801</v>
      </c>
      <c r="B109" s="3" t="inlineStr">
        <is>
          <t>Entreprise</t>
        </is>
      </c>
      <c r="C109" s="3" t="inlineStr">
        <is>
          <t>PAE</t>
        </is>
      </c>
      <c r="D109" s="3" t="inlineStr">
        <is>
          <t>Période en entreprise n° 2 — jour 13/15</t>
        </is>
      </c>
      <c r="E109" s="3" t="n">
        <v>7</v>
      </c>
      <c r="F109" s="18" t="n"/>
      <c r="G109" s="3">
        <f>IF(F109="","",F109-E109)</f>
        <v/>
      </c>
    </row>
    <row r="110">
      <c r="A110" s="2" t="n">
        <v>46804</v>
      </c>
      <c r="B110" s="3" t="inlineStr">
        <is>
          <t>Entreprise</t>
        </is>
      </c>
      <c r="C110" s="3" t="inlineStr">
        <is>
          <t>PAE</t>
        </is>
      </c>
      <c r="D110" s="3" t="inlineStr">
        <is>
          <t>Période en entreprise n° 2 — jour 14/15</t>
        </is>
      </c>
      <c r="E110" s="3" t="n">
        <v>7</v>
      </c>
      <c r="F110" s="18" t="n"/>
      <c r="G110" s="3">
        <f>IF(F110="","",F110-E110)</f>
        <v/>
      </c>
    </row>
    <row r="111">
      <c r="A111" s="2" t="n">
        <v>46805</v>
      </c>
      <c r="B111" s="3" t="inlineStr">
        <is>
          <t>Entreprise</t>
        </is>
      </c>
      <c r="C111" s="3" t="inlineStr">
        <is>
          <t>PAE</t>
        </is>
      </c>
      <c r="D111" s="3" t="inlineStr">
        <is>
          <t>Période en entreprise n° 2 — jour 15/15</t>
        </is>
      </c>
      <c r="E111" s="3" t="n">
        <v>7</v>
      </c>
      <c r="F111" s="18" t="n"/>
      <c r="G111" s="3">
        <f>IF(F111="","",F111-E111)</f>
        <v/>
      </c>
    </row>
    <row r="112">
      <c r="A112" s="2" t="n">
        <v>46806</v>
      </c>
      <c r="B112" s="3" t="inlineStr">
        <is>
          <t>Centre</t>
        </is>
      </c>
      <c r="C112" s="3" t="inlineStr">
        <is>
          <t>T3</t>
        </is>
      </c>
      <c r="D112" s="3" t="inlineStr">
        <is>
          <t>Dossier de projet</t>
        </is>
      </c>
      <c r="E112" s="3" t="n">
        <v>7</v>
      </c>
      <c r="F112" s="18" t="n"/>
      <c r="G112" s="3">
        <f>IF(F112="","",F112-E112)</f>
        <v/>
      </c>
    </row>
    <row r="113">
      <c r="A113" s="2" t="n">
        <v>46807</v>
      </c>
      <c r="B113" s="3" t="inlineStr">
        <is>
          <t>Centre</t>
        </is>
      </c>
      <c r="C113" s="3" t="inlineStr">
        <is>
          <t>T3</t>
        </is>
      </c>
      <c r="D113" s="3" t="inlineStr">
        <is>
          <t>Diaporama de présentation</t>
        </is>
      </c>
      <c r="E113" s="3" t="n">
        <v>7</v>
      </c>
      <c r="F113" s="18" t="n"/>
      <c r="G113" s="3">
        <f>IF(F113="","",F113-E113)</f>
        <v/>
      </c>
    </row>
    <row r="114">
      <c r="A114" s="2" t="n">
        <v>46808</v>
      </c>
      <c r="B114" s="3" t="inlineStr">
        <is>
          <t>Centre</t>
        </is>
      </c>
      <c r="C114" s="3" t="inlineStr">
        <is>
          <t>T3</t>
        </is>
      </c>
      <c r="D114" s="3" t="inlineStr">
        <is>
          <t>Dossier professionnel</t>
        </is>
      </c>
      <c r="E114" s="3" t="n">
        <v>7</v>
      </c>
      <c r="F114" s="18" t="n"/>
      <c r="G114" s="3">
        <f>IF(F114="","",F114-E114)</f>
        <v/>
      </c>
    </row>
    <row r="115">
      <c r="A115" s="2" t="n">
        <v>46811</v>
      </c>
      <c r="B115" s="3" t="inlineStr">
        <is>
          <t>Centre</t>
        </is>
      </c>
      <c r="C115" s="3" t="inlineStr">
        <is>
          <t>T5</t>
        </is>
      </c>
      <c r="D115" s="3" t="inlineStr">
        <is>
          <t>Présentation blanche</t>
        </is>
      </c>
      <c r="E115" s="3" t="n">
        <v>7</v>
      </c>
      <c r="F115" s="18" t="n"/>
      <c r="G115" s="3">
        <f>IF(F115="","",F115-E115)</f>
        <v/>
      </c>
    </row>
    <row r="116">
      <c r="A116" s="2" t="n">
        <v>46812</v>
      </c>
      <c r="B116" s="3" t="inlineStr">
        <is>
          <t>Centre</t>
        </is>
      </c>
      <c r="C116" s="3" t="inlineStr">
        <is>
          <t>T5</t>
        </is>
      </c>
      <c r="D116" s="3" t="inlineStr">
        <is>
          <t>Entretiens technique et final blancs</t>
        </is>
      </c>
      <c r="E116" s="3" t="n">
        <v>7</v>
      </c>
      <c r="F116" s="18" t="n"/>
      <c r="G116" s="3">
        <f>IF(F116="","",F116-E116)</f>
        <v/>
      </c>
    </row>
    <row r="117">
      <c r="D117" s="13" t="inlineStr">
        <is>
          <t>TOTAL</t>
        </is>
      </c>
      <c r="E117" s="13">
        <f>SUM(E2:E116)</f>
        <v/>
      </c>
      <c r="F117" s="13">
        <f>SUM(F2:F116)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Indicateur</t>
        </is>
      </c>
      <c r="B1" s="1" t="inlineStr">
        <is>
          <t>MEM</t>
        </is>
      </c>
      <c r="C1" s="1" t="inlineStr">
        <is>
          <t>RPMS</t>
        </is>
      </c>
      <c r="D1" s="1" t="inlineStr">
        <is>
          <t>Formule ou source</t>
        </is>
      </c>
    </row>
    <row r="2">
      <c r="A2" s="3" t="inlineStr">
        <is>
          <t>Inscrits</t>
        </is>
      </c>
      <c r="B2" s="3" t="n"/>
      <c r="C2" s="3" t="n"/>
      <c r="D2" s="3" t="inlineStr">
        <is>
          <t>Saisie</t>
        </is>
      </c>
    </row>
    <row r="3">
      <c r="A3" s="3" t="inlineStr">
        <is>
          <t>Entrés en formation</t>
        </is>
      </c>
      <c r="B3" s="3" t="n"/>
      <c r="C3" s="3" t="n"/>
      <c r="D3" s="3" t="inlineStr">
        <is>
          <t>Saisie</t>
        </is>
      </c>
    </row>
    <row r="4">
      <c r="A4" s="3" t="inlineStr">
        <is>
          <t>Abandons</t>
        </is>
      </c>
      <c r="B4" s="3" t="n"/>
      <c r="C4" s="3" t="n"/>
      <c r="D4" s="3" t="inlineStr">
        <is>
          <t>Saisie</t>
        </is>
      </c>
    </row>
    <row r="5">
      <c r="A5" s="3" t="inlineStr">
        <is>
          <t>Taux d'abandon</t>
        </is>
      </c>
      <c r="B5" s="19">
        <f>IF(B3="","",B4/B3)</f>
        <v/>
      </c>
      <c r="C5" s="19">
        <f>IF(C3="","",C4/C3)</f>
        <v/>
      </c>
      <c r="D5" s="3" t="inlineStr">
        <is>
          <t>Abandons / entrés</t>
        </is>
      </c>
    </row>
    <row r="6">
      <c r="A6" s="3" t="inlineStr">
        <is>
          <t>Présentés à l'examen</t>
        </is>
      </c>
      <c r="B6" s="3" t="n"/>
      <c r="C6" s="3" t="n"/>
      <c r="D6" s="3" t="inlineStr">
        <is>
          <t>Saisie</t>
        </is>
      </c>
    </row>
    <row r="7">
      <c r="A7" s="3" t="inlineStr">
        <is>
          <t>Titres complets obtenus</t>
        </is>
      </c>
      <c r="B7" s="3" t="n"/>
      <c r="C7" s="3" t="n"/>
      <c r="D7" s="3" t="inlineStr">
        <is>
          <t>Saisie</t>
        </is>
      </c>
    </row>
    <row r="8">
      <c r="A8" s="3" t="inlineStr">
        <is>
          <t>Taux de réussite</t>
        </is>
      </c>
      <c r="B8" s="19">
        <f>IF(B6="","",B7/B6)</f>
        <v/>
      </c>
      <c r="C8" s="19">
        <f>IF(C6="","",C7/C6)</f>
        <v/>
      </c>
      <c r="D8" s="3" t="inlineStr">
        <is>
          <t>Titres / présentés</t>
        </is>
      </c>
    </row>
    <row r="9">
      <c r="A9" s="3" t="inlineStr">
        <is>
          <t>Satisfaction moyenne (sur 4)</t>
        </is>
      </c>
      <c r="B9" s="3" t="n"/>
      <c r="C9" s="3" t="n"/>
      <c r="D9" s="3" t="inlineStr">
        <is>
          <t>Questionnaire EVAL-10</t>
        </is>
      </c>
    </row>
    <row r="10">
      <c r="A10" s="3" t="inlineStr">
        <is>
          <t>En emploi à 6 mois</t>
        </is>
      </c>
      <c r="B10" s="3" t="n"/>
      <c r="C10" s="3" t="n"/>
      <c r="D10" s="3" t="inlineStr">
        <is>
          <t>Enquête</t>
        </is>
      </c>
    </row>
    <row r="11">
      <c r="A11" s="3" t="inlineStr">
        <is>
          <t>Taux d'insertion à 6 mois</t>
        </is>
      </c>
      <c r="B11" s="19">
        <f>IF(B3="","",B10/(B3-B4))</f>
        <v/>
      </c>
      <c r="C11" s="19">
        <f>IF(C3="","",C10/(C3-C4))</f>
        <v/>
      </c>
      <c r="D11" s="3" t="inlineStr">
        <is>
          <t>En emploi / sortants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Stagiaire (initiales)</t>
        </is>
      </c>
      <c r="C1" s="1" t="inlineStr">
        <is>
          <t>Promotion</t>
        </is>
      </c>
      <c r="D1" s="1" t="inlineStr">
        <is>
          <t>Type</t>
        </is>
      </c>
      <c r="E1" s="1" t="inlineStr">
        <is>
          <t>Justifiée ?</t>
        </is>
      </c>
      <c r="F1" s="1" t="inlineStr">
        <is>
          <t>Contact le</t>
        </is>
      </c>
      <c r="G1" s="1" t="inlineStr">
        <is>
          <t>Action</t>
        </is>
      </c>
      <c r="H1" s="1" t="inlineStr">
        <is>
          <t>Partenaire mobilisé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2026-10-22T08:24:07Z</dcterms:created>
  <dcterms:modified xmlns:dcterms="http://purl.org/dc/terms/" xmlns:xsi="http://www.w3.org/2001/XMLSchema-instance" xsi:type="dcterms:W3CDTF">2026-10-22T08:24:07Z</dcterms:modified>
</cp:coreProperties>
</file>